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9C5E5A-E34F-4A3A-AAC0-2B80953A8524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Raw_Sales_Data" sheetId="1" r:id="rId1"/>
    <sheet name="Cleaned_Data" sheetId="2" r:id="rId2"/>
    <sheet name="Dashboard" sheetId="3" r:id="rId3"/>
    <sheet name="Intermediate_Dashboard" sheetId="5" r:id="rId4"/>
    <sheet name="Pivot_Tables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B5" i="5"/>
  <c r="G5" i="3"/>
  <c r="E5" i="3"/>
  <c r="C5" i="3"/>
  <c r="A5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2" i="2"/>
</calcChain>
</file>

<file path=xl/sharedStrings.xml><?xml version="1.0" encoding="utf-8"?>
<sst xmlns="http://schemas.openxmlformats.org/spreadsheetml/2006/main" count="6100" uniqueCount="930">
  <si>
    <t>Order ID</t>
  </si>
  <si>
    <t>Order Date</t>
  </si>
  <si>
    <t>Category</t>
  </si>
  <si>
    <t>Product Name</t>
  </si>
  <si>
    <t>Quantity</t>
  </si>
  <si>
    <t>Unit Price</t>
  </si>
  <si>
    <t>Discount</t>
  </si>
  <si>
    <t>Sales</t>
  </si>
  <si>
    <t>Profit</t>
  </si>
  <si>
    <t>Region</t>
  </si>
  <si>
    <t>Customer Segment</t>
  </si>
  <si>
    <t>ORD-2025-1001</t>
  </si>
  <si>
    <t>2025-01-01</t>
  </si>
  <si>
    <t>Furniture</t>
  </si>
  <si>
    <t>File Cabinet</t>
  </si>
  <si>
    <t>North</t>
  </si>
  <si>
    <t>Corporate</t>
  </si>
  <si>
    <t>ORD-2025-1002</t>
  </si>
  <si>
    <t>Technology</t>
  </si>
  <si>
    <t>USB-C Hub</t>
  </si>
  <si>
    <t>East</t>
  </si>
  <si>
    <t>ORD-2025-1003</t>
  </si>
  <si>
    <t>2025-01-02</t>
  </si>
  <si>
    <t>Office Supplies</t>
  </si>
  <si>
    <t>Gel Pens Set</t>
  </si>
  <si>
    <t>ORD-2025-1004</t>
  </si>
  <si>
    <t>2025-01-03</t>
  </si>
  <si>
    <t>Mechanical Keyboard</t>
  </si>
  <si>
    <t>West</t>
  </si>
  <si>
    <t>Consumer</t>
  </si>
  <si>
    <t>ORD-2025-1005</t>
  </si>
  <si>
    <t>Desk Organizer</t>
  </si>
  <si>
    <t>Home Office</t>
  </si>
  <si>
    <t>ORD-2025-1006</t>
  </si>
  <si>
    <t>2025-01-04</t>
  </si>
  <si>
    <t>Notebook 5-Pack</t>
  </si>
  <si>
    <t>ORD-2025-1007</t>
  </si>
  <si>
    <t>2025-01-05</t>
  </si>
  <si>
    <t>Bookshelf</t>
  </si>
  <si>
    <t>ORD-2025-1008</t>
  </si>
  <si>
    <t>2025-01-06</t>
  </si>
  <si>
    <t>Standing Desk</t>
  </si>
  <si>
    <t>ORD-2025-1009</t>
  </si>
  <si>
    <t>Stapler Heavy Duty</t>
  </si>
  <si>
    <t>South</t>
  </si>
  <si>
    <t>ORD-2025-1010</t>
  </si>
  <si>
    <t>2025-01-07</t>
  </si>
  <si>
    <t>ORD-2025-1011</t>
  </si>
  <si>
    <t>2025-01-08</t>
  </si>
  <si>
    <t>ORD-2025-1012</t>
  </si>
  <si>
    <t>2025-01-09</t>
  </si>
  <si>
    <t>Ergonomic Chair</t>
  </si>
  <si>
    <t>ORD-2025-1013</t>
  </si>
  <si>
    <t>ORD-2025-1014</t>
  </si>
  <si>
    <t>2025-01-10</t>
  </si>
  <si>
    <t>ORD-2025-1015</t>
  </si>
  <si>
    <t>2025-01-11</t>
  </si>
  <si>
    <t>ORD-2025-1016</t>
  </si>
  <si>
    <t>Printer Paper Ream</t>
  </si>
  <si>
    <t>ORD-2025-1017</t>
  </si>
  <si>
    <t>2025-01-12</t>
  </si>
  <si>
    <t>Wireless Mouse</t>
  </si>
  <si>
    <t>ORD-2025-1018</t>
  </si>
  <si>
    <t>2025-01-13</t>
  </si>
  <si>
    <t>ORD-2025-1019</t>
  </si>
  <si>
    <t>2025-01-14</t>
  </si>
  <si>
    <t>ORD-2025-1020</t>
  </si>
  <si>
    <t>Office Lamp</t>
  </si>
  <si>
    <t>ORD-2025-1021</t>
  </si>
  <si>
    <t>2025-01-15</t>
  </si>
  <si>
    <t>ORD-2025-1022</t>
  </si>
  <si>
    <t>2025-01-16</t>
  </si>
  <si>
    <t>ORD-2025-1023</t>
  </si>
  <si>
    <t>2025-01-17</t>
  </si>
  <si>
    <t>ORD-2025-1024</t>
  </si>
  <si>
    <t>ORD-2025-1025</t>
  </si>
  <si>
    <t>2025-01-18</t>
  </si>
  <si>
    <t>Laptop Pro 15</t>
  </si>
  <si>
    <t>ORD-2025-1026</t>
  </si>
  <si>
    <t>2025-01-19</t>
  </si>
  <si>
    <t>ORD-2025-1027</t>
  </si>
  <si>
    <t>ORD-2025-1028</t>
  </si>
  <si>
    <t>2025-01-20</t>
  </si>
  <si>
    <t>ORD-2025-1029</t>
  </si>
  <si>
    <t>2025-01-21</t>
  </si>
  <si>
    <t>ORD-2025-1030</t>
  </si>
  <si>
    <t>2025-01-22</t>
  </si>
  <si>
    <t>ORD-2025-1031</t>
  </si>
  <si>
    <t>ORD-2025-1032</t>
  </si>
  <si>
    <t>2025-01-23</t>
  </si>
  <si>
    <t>ORD-2025-1033</t>
  </si>
  <si>
    <t>2025-01-24</t>
  </si>
  <si>
    <t>ORD-2025-1034</t>
  </si>
  <si>
    <t>2025-01-25</t>
  </si>
  <si>
    <t>ORD-2025-1035</t>
  </si>
  <si>
    <t>ORD-2025-1036</t>
  </si>
  <si>
    <t>2025-01-26</t>
  </si>
  <si>
    <t>ORD-2025-1037</t>
  </si>
  <si>
    <t>2025-01-27</t>
  </si>
  <si>
    <t>ORD-2025-1038</t>
  </si>
  <si>
    <t>ORD-2025-1039</t>
  </si>
  <si>
    <t>2025-01-28</t>
  </si>
  <si>
    <t>ORD-2025-1040</t>
  </si>
  <si>
    <t>2025-01-29</t>
  </si>
  <si>
    <t>ORD-2025-1041</t>
  </si>
  <si>
    <t>2025-01-30</t>
  </si>
  <si>
    <t>ORD-2025-1042</t>
  </si>
  <si>
    <t>ORD-2025-1043</t>
  </si>
  <si>
    <t>2025-01-31</t>
  </si>
  <si>
    <t>ORD-2025-1044</t>
  </si>
  <si>
    <t>2025-02-01</t>
  </si>
  <si>
    <t>ORD-2025-1045</t>
  </si>
  <si>
    <t>2025-02-02</t>
  </si>
  <si>
    <t>ORD-2025-1046</t>
  </si>
  <si>
    <t>ORD-2025-1047</t>
  </si>
  <si>
    <t>2025-02-03</t>
  </si>
  <si>
    <t>ORD-2025-1048</t>
  </si>
  <si>
    <t>2025-02-04</t>
  </si>
  <si>
    <t>ORD-2025-1049</t>
  </si>
  <si>
    <t>2025-02-05</t>
  </si>
  <si>
    <t>ORD-2025-1050</t>
  </si>
  <si>
    <t>ORD-2025-1051</t>
  </si>
  <si>
    <t>2025-02-06</t>
  </si>
  <si>
    <t>ORD-2025-1052</t>
  </si>
  <si>
    <t>2025-02-07</t>
  </si>
  <si>
    <t>ORD-2025-1053</t>
  </si>
  <si>
    <t>ORD-2025-1054</t>
  </si>
  <si>
    <t>2025-02-08</t>
  </si>
  <si>
    <t>4K Monitor</t>
  </si>
  <si>
    <t>ORD-2025-1055</t>
  </si>
  <si>
    <t>2025-02-09</t>
  </si>
  <si>
    <t>ORD-2025-1056</t>
  </si>
  <si>
    <t>2025-02-10</t>
  </si>
  <si>
    <t>ORD-2025-1057</t>
  </si>
  <si>
    <t>ORD-2025-1058</t>
  </si>
  <si>
    <t>2025-02-11</t>
  </si>
  <si>
    <t>ORD-2025-1059</t>
  </si>
  <si>
    <t>2025-02-12</t>
  </si>
  <si>
    <t>ORD-2025-1060</t>
  </si>
  <si>
    <t>2025-02-13</t>
  </si>
  <si>
    <t>ORD-2025-1061</t>
  </si>
  <si>
    <t>ORD-2025-1062</t>
  </si>
  <si>
    <t>2025-02-14</t>
  </si>
  <si>
    <t>ORD-2025-1063</t>
  </si>
  <si>
    <t>2025-02-15</t>
  </si>
  <si>
    <t>ORD-2025-1064</t>
  </si>
  <si>
    <t>ORD-2025-1065</t>
  </si>
  <si>
    <t>2025-02-16</t>
  </si>
  <si>
    <t>ORD-2025-1066</t>
  </si>
  <si>
    <t>2025-02-17</t>
  </si>
  <si>
    <t>ORD-2025-1067</t>
  </si>
  <si>
    <t>2025-02-18</t>
  </si>
  <si>
    <t>ORD-2025-1068</t>
  </si>
  <si>
    <t>ORD-2025-1069</t>
  </si>
  <si>
    <t>2025-02-19</t>
  </si>
  <si>
    <t>ORD-2025-1070</t>
  </si>
  <si>
    <t>2025-02-20</t>
  </si>
  <si>
    <t>ORD-2025-1071</t>
  </si>
  <si>
    <t>2025-02-21</t>
  </si>
  <si>
    <t>ORD-2025-1072</t>
  </si>
  <si>
    <t>ORD-2025-1073</t>
  </si>
  <si>
    <t>2025-02-22</t>
  </si>
  <si>
    <t>ORD-2025-1074</t>
  </si>
  <si>
    <t>2025-02-23</t>
  </si>
  <si>
    <t>ORD-2025-1075</t>
  </si>
  <si>
    <t>ORD-2025-1076</t>
  </si>
  <si>
    <t>2025-02-24</t>
  </si>
  <si>
    <t>ORD-2025-1077</t>
  </si>
  <si>
    <t>2025-02-25</t>
  </si>
  <si>
    <t>ORD-2025-1078</t>
  </si>
  <si>
    <t>2025-02-26</t>
  </si>
  <si>
    <t>ORD-2025-1079</t>
  </si>
  <si>
    <t>ORD-2025-1080</t>
  </si>
  <si>
    <t>2025-02-27</t>
  </si>
  <si>
    <t>ORD-2025-1081</t>
  </si>
  <si>
    <t>2025-02-28</t>
  </si>
  <si>
    <t>ORD-2025-1082</t>
  </si>
  <si>
    <t>2025-03-01</t>
  </si>
  <si>
    <t>ORD-2025-1083</t>
  </si>
  <si>
    <t>ORD-2025-1084</t>
  </si>
  <si>
    <t>2025-03-02</t>
  </si>
  <si>
    <t>ORD-2025-1085</t>
  </si>
  <si>
    <t>2025-03-03</t>
  </si>
  <si>
    <t>ORD-2025-1086</t>
  </si>
  <si>
    <t>2025-03-04</t>
  </si>
  <si>
    <t>ORD-2025-1087</t>
  </si>
  <si>
    <t>ORD-2025-1088</t>
  </si>
  <si>
    <t>2025-03-05</t>
  </si>
  <si>
    <t>ORD-2025-1089</t>
  </si>
  <si>
    <t>2025-03-06</t>
  </si>
  <si>
    <t>ORD-2025-1090</t>
  </si>
  <si>
    <t>ORD-2025-1091</t>
  </si>
  <si>
    <t>2025-03-07</t>
  </si>
  <si>
    <t>ORD-2025-1092</t>
  </si>
  <si>
    <t>2025-03-08</t>
  </si>
  <si>
    <t>ORD-2025-1093</t>
  </si>
  <si>
    <t>2025-03-09</t>
  </si>
  <si>
    <t>ORD-2025-1094</t>
  </si>
  <si>
    <t>ORD-2025-1095</t>
  </si>
  <si>
    <t>2025-03-10</t>
  </si>
  <si>
    <t>ORD-2025-1096</t>
  </si>
  <si>
    <t>2025-03-11</t>
  </si>
  <si>
    <t>ORD-2025-1097</t>
  </si>
  <si>
    <t>2025-03-12</t>
  </si>
  <si>
    <t>ORD-2025-1098</t>
  </si>
  <si>
    <t>ORD-2025-1099</t>
  </si>
  <si>
    <t>2025-03-13</t>
  </si>
  <si>
    <t>ORD-2025-1100</t>
  </si>
  <si>
    <t>2025-03-14</t>
  </si>
  <si>
    <t>ORD-2025-1101</t>
  </si>
  <si>
    <t>ORD-2025-1102</t>
  </si>
  <si>
    <t>2025-03-15</t>
  </si>
  <si>
    <t>ORD-2025-1103</t>
  </si>
  <si>
    <t>2025-03-16</t>
  </si>
  <si>
    <t>ORD-2025-1104</t>
  </si>
  <si>
    <t>2025-03-17</t>
  </si>
  <si>
    <t>ORD-2025-1105</t>
  </si>
  <si>
    <t>ORD-2025-1106</t>
  </si>
  <si>
    <t>2025-03-18</t>
  </si>
  <si>
    <t>ORD-2025-1107</t>
  </si>
  <si>
    <t>2025-03-19</t>
  </si>
  <si>
    <t>ORD-2025-1108</t>
  </si>
  <si>
    <t>2025-03-20</t>
  </si>
  <si>
    <t>ORD-2025-1109</t>
  </si>
  <si>
    <t>ORD-2025-1110</t>
  </si>
  <si>
    <t>2025-03-21</t>
  </si>
  <si>
    <t>ORD-2025-1111</t>
  </si>
  <si>
    <t>2025-03-22</t>
  </si>
  <si>
    <t>ORD-2025-1112</t>
  </si>
  <si>
    <t>ORD-2025-1113</t>
  </si>
  <si>
    <t>2025-03-23</t>
  </si>
  <si>
    <t>ORD-2025-1114</t>
  </si>
  <si>
    <t>2025-03-24</t>
  </si>
  <si>
    <t>ORD-2025-1115</t>
  </si>
  <si>
    <t>2025-03-25</t>
  </si>
  <si>
    <t>ORD-2025-1116</t>
  </si>
  <si>
    <t>ORD-2025-1117</t>
  </si>
  <si>
    <t>2025-03-26</t>
  </si>
  <si>
    <t>ORD-2025-1118</t>
  </si>
  <si>
    <t>2025-03-27</t>
  </si>
  <si>
    <t>ORD-2025-1119</t>
  </si>
  <si>
    <t>2025-03-28</t>
  </si>
  <si>
    <t>ORD-2025-1120</t>
  </si>
  <si>
    <t>ORD-2025-1121</t>
  </si>
  <si>
    <t>2025-03-29</t>
  </si>
  <si>
    <t>ORD-2025-1122</t>
  </si>
  <si>
    <t>2025-03-30</t>
  </si>
  <si>
    <t>ORD-2025-1123</t>
  </si>
  <si>
    <t>ORD-2025-1124</t>
  </si>
  <si>
    <t>2025-03-31</t>
  </si>
  <si>
    <t>ORD-2025-1125</t>
  </si>
  <si>
    <t>2025-04-01</t>
  </si>
  <si>
    <t>ORD-2025-1126</t>
  </si>
  <si>
    <t>2025-04-02</t>
  </si>
  <si>
    <t>ORD-2025-1127</t>
  </si>
  <si>
    <t>ORD-2025-1128</t>
  </si>
  <si>
    <t>2025-04-03</t>
  </si>
  <si>
    <t>ORD-2025-1129</t>
  </si>
  <si>
    <t>2025-04-04</t>
  </si>
  <si>
    <t>ORD-2025-1130</t>
  </si>
  <si>
    <t>2025-04-05</t>
  </si>
  <si>
    <t>ORD-2025-1131</t>
  </si>
  <si>
    <t>ORD-2025-1132</t>
  </si>
  <si>
    <t>2025-04-06</t>
  </si>
  <si>
    <t>ORD-2025-1133</t>
  </si>
  <si>
    <t>2025-04-07</t>
  </si>
  <si>
    <t>ORD-2025-1134</t>
  </si>
  <si>
    <t>2025-04-08</t>
  </si>
  <si>
    <t>ORD-2025-1135</t>
  </si>
  <si>
    <t>ORD-2025-1136</t>
  </si>
  <si>
    <t>2025-04-09</t>
  </si>
  <si>
    <t>ORD-2025-1137</t>
  </si>
  <si>
    <t>2025-04-10</t>
  </si>
  <si>
    <t>ORD-2025-1138</t>
  </si>
  <si>
    <t>ORD-2025-1139</t>
  </si>
  <si>
    <t>2025-04-11</t>
  </si>
  <si>
    <t>ORD-2025-1140</t>
  </si>
  <si>
    <t>2025-04-12</t>
  </si>
  <si>
    <t>ORD-2025-1141</t>
  </si>
  <si>
    <t>2025-04-13</t>
  </si>
  <si>
    <t>ORD-2025-1142</t>
  </si>
  <si>
    <t>ORD-2025-1143</t>
  </si>
  <si>
    <t>2025-04-14</t>
  </si>
  <si>
    <t>ORD-2025-1144</t>
  </si>
  <si>
    <t>2025-04-15</t>
  </si>
  <si>
    <t>ORD-2025-1145</t>
  </si>
  <si>
    <t>2025-04-16</t>
  </si>
  <si>
    <t>ORD-2025-1146</t>
  </si>
  <si>
    <t>ORD-2025-1147</t>
  </si>
  <si>
    <t>2025-04-17</t>
  </si>
  <si>
    <t>ORD-2025-1148</t>
  </si>
  <si>
    <t>2025-04-18</t>
  </si>
  <si>
    <t>ORD-2025-1149</t>
  </si>
  <si>
    <t>ORD-2025-1150</t>
  </si>
  <si>
    <t>2025-04-19</t>
  </si>
  <si>
    <t>ORD-2025-1151</t>
  </si>
  <si>
    <t>2025-04-20</t>
  </si>
  <si>
    <t>ORD-2025-1152</t>
  </si>
  <si>
    <t>2025-04-21</t>
  </si>
  <si>
    <t>ORD-2025-1153</t>
  </si>
  <si>
    <t>ORD-2025-1154</t>
  </si>
  <si>
    <t>2025-04-22</t>
  </si>
  <si>
    <t>ORD-2025-1155</t>
  </si>
  <si>
    <t>2025-04-23</t>
  </si>
  <si>
    <t>ORD-2025-1156</t>
  </si>
  <si>
    <t>2025-04-24</t>
  </si>
  <si>
    <t>ORD-2025-1157</t>
  </si>
  <si>
    <t>ORD-2025-1158</t>
  </si>
  <si>
    <t>2025-04-25</t>
  </si>
  <si>
    <t>ORD-2025-1159</t>
  </si>
  <si>
    <t>2025-04-26</t>
  </si>
  <si>
    <t>ORD-2025-1160</t>
  </si>
  <si>
    <t>ORD-2025-1161</t>
  </si>
  <si>
    <t>2025-04-27</t>
  </si>
  <si>
    <t>ORD-2025-1162</t>
  </si>
  <si>
    <t>2025-04-28</t>
  </si>
  <si>
    <t>ORD-2025-1163</t>
  </si>
  <si>
    <t>2025-04-29</t>
  </si>
  <si>
    <t>ORD-2025-1164</t>
  </si>
  <si>
    <t>ORD-2025-1165</t>
  </si>
  <si>
    <t>2025-04-30</t>
  </si>
  <si>
    <t>ORD-2025-1166</t>
  </si>
  <si>
    <t>2025-05-01</t>
  </si>
  <si>
    <t>ORD-2025-1167</t>
  </si>
  <si>
    <t>2025-05-02</t>
  </si>
  <si>
    <t>ORD-2025-1168</t>
  </si>
  <si>
    <t>ORD-2025-1169</t>
  </si>
  <si>
    <t>2025-05-03</t>
  </si>
  <si>
    <t>ORD-2025-1170</t>
  </si>
  <si>
    <t>2025-05-04</t>
  </si>
  <si>
    <t>ORD-2025-1171</t>
  </si>
  <si>
    <t>2025-05-05</t>
  </si>
  <si>
    <t>ORD-2025-1172</t>
  </si>
  <si>
    <t>ORD-2025-1173</t>
  </si>
  <si>
    <t>2025-05-06</t>
  </si>
  <si>
    <t>ORD-2025-1174</t>
  </si>
  <si>
    <t>2025-05-07</t>
  </si>
  <si>
    <t>ORD-2025-1175</t>
  </si>
  <si>
    <t>ORD-2025-1176</t>
  </si>
  <si>
    <t>2025-05-08</t>
  </si>
  <si>
    <t>ORD-2025-1177</t>
  </si>
  <si>
    <t>2025-05-09</t>
  </si>
  <si>
    <t>ORD-2025-1178</t>
  </si>
  <si>
    <t>2025-05-10</t>
  </si>
  <si>
    <t>ORD-2025-1179</t>
  </si>
  <si>
    <t>ORD-2025-1180</t>
  </si>
  <si>
    <t>2025-05-11</t>
  </si>
  <si>
    <t>ORD-2025-1181</t>
  </si>
  <si>
    <t>2025-05-12</t>
  </si>
  <si>
    <t>ORD-2025-1182</t>
  </si>
  <si>
    <t>2025-05-13</t>
  </si>
  <si>
    <t>ORD-2025-1183</t>
  </si>
  <si>
    <t>ORD-2025-1184</t>
  </si>
  <si>
    <t>2025-05-14</t>
  </si>
  <si>
    <t>ORD-2025-1185</t>
  </si>
  <si>
    <t>2025-05-15</t>
  </si>
  <si>
    <t>ORD-2025-1186</t>
  </si>
  <si>
    <t>ORD-2025-1187</t>
  </si>
  <si>
    <t>2025-05-16</t>
  </si>
  <si>
    <t>ORD-2025-1188</t>
  </si>
  <si>
    <t>2025-05-17</t>
  </si>
  <si>
    <t>ORD-2025-1189</t>
  </si>
  <si>
    <t>2025-05-18</t>
  </si>
  <si>
    <t>ORD-2025-1190</t>
  </si>
  <si>
    <t>ORD-2025-1191</t>
  </si>
  <si>
    <t>2025-05-19</t>
  </si>
  <si>
    <t>ORD-2025-1192</t>
  </si>
  <si>
    <t>2025-05-20</t>
  </si>
  <si>
    <t>ORD-2025-1193</t>
  </si>
  <si>
    <t>2025-05-21</t>
  </si>
  <si>
    <t>ORD-2025-1194</t>
  </si>
  <si>
    <t>ORD-2025-1195</t>
  </si>
  <si>
    <t>2025-05-22</t>
  </si>
  <si>
    <t>ORD-2025-1196</t>
  </si>
  <si>
    <t>2025-05-23</t>
  </si>
  <si>
    <t>ORD-2025-1197</t>
  </si>
  <si>
    <t>ORD-2025-1198</t>
  </si>
  <si>
    <t>2025-05-24</t>
  </si>
  <si>
    <t>ORD-2025-1199</t>
  </si>
  <si>
    <t>2025-05-25</t>
  </si>
  <si>
    <t>ORD-2025-1200</t>
  </si>
  <si>
    <t>2025-05-26</t>
  </si>
  <si>
    <t>ORD-2025-1201</t>
  </si>
  <si>
    <t>ORD-2025-1202</t>
  </si>
  <si>
    <t>2025-05-27</t>
  </si>
  <si>
    <t>ORD-2025-1203</t>
  </si>
  <si>
    <t>2025-05-28</t>
  </si>
  <si>
    <t>ORD-2025-1204</t>
  </si>
  <si>
    <t>2025-05-29</t>
  </si>
  <si>
    <t>ORD-2025-1205</t>
  </si>
  <si>
    <t>ORD-2025-1206</t>
  </si>
  <si>
    <t>2025-05-30</t>
  </si>
  <si>
    <t>ORD-2025-1207</t>
  </si>
  <si>
    <t>2025-05-31</t>
  </si>
  <si>
    <t>ORD-2025-1208</t>
  </si>
  <si>
    <t>ORD-2025-1209</t>
  </si>
  <si>
    <t>2025-06-01</t>
  </si>
  <si>
    <t>ORD-2025-1210</t>
  </si>
  <si>
    <t>2025-06-02</t>
  </si>
  <si>
    <t>ORD-2025-1211</t>
  </si>
  <si>
    <t>2025-06-03</t>
  </si>
  <si>
    <t>ORD-2025-1212</t>
  </si>
  <si>
    <t>ORD-2025-1213</t>
  </si>
  <si>
    <t>2025-06-04</t>
  </si>
  <si>
    <t>ORD-2025-1214</t>
  </si>
  <si>
    <t>2025-06-05</t>
  </si>
  <si>
    <t>ORD-2025-1215</t>
  </si>
  <si>
    <t>2025-06-06</t>
  </si>
  <si>
    <t>ORD-2025-1216</t>
  </si>
  <si>
    <t>ORD-2025-1217</t>
  </si>
  <si>
    <t>2025-06-07</t>
  </si>
  <si>
    <t>ORD-2025-1218</t>
  </si>
  <si>
    <t>2025-06-08</t>
  </si>
  <si>
    <t>ORD-2025-1219</t>
  </si>
  <si>
    <t>2025-06-09</t>
  </si>
  <si>
    <t>ORD-2025-1220</t>
  </si>
  <si>
    <t>ORD-2025-1221</t>
  </si>
  <si>
    <t>2025-06-10</t>
  </si>
  <si>
    <t>ORD-2025-1222</t>
  </si>
  <si>
    <t>2025-06-11</t>
  </si>
  <si>
    <t>ORD-2025-1223</t>
  </si>
  <si>
    <t>ORD-2025-1224</t>
  </si>
  <si>
    <t>2025-06-12</t>
  </si>
  <si>
    <t>ORD-2025-1225</t>
  </si>
  <si>
    <t>2025-06-13</t>
  </si>
  <si>
    <t>ORD-2025-1226</t>
  </si>
  <si>
    <t>2025-06-14</t>
  </si>
  <si>
    <t>ORD-2025-1227</t>
  </si>
  <si>
    <t>ORD-2025-1228</t>
  </si>
  <si>
    <t>2025-06-15</t>
  </si>
  <si>
    <t>ORD-2025-1229</t>
  </si>
  <si>
    <t>2025-06-16</t>
  </si>
  <si>
    <t>ORD-2025-1230</t>
  </si>
  <si>
    <t>2025-06-17</t>
  </si>
  <si>
    <t>ORD-2025-1231</t>
  </si>
  <si>
    <t>ORD-2025-1232</t>
  </si>
  <si>
    <t>2025-06-18</t>
  </si>
  <si>
    <t>ORD-2025-1233</t>
  </si>
  <si>
    <t>2025-06-19</t>
  </si>
  <si>
    <t>ORD-2025-1234</t>
  </si>
  <si>
    <t>ORD-2025-1235</t>
  </si>
  <si>
    <t>2025-06-20</t>
  </si>
  <si>
    <t>ORD-2025-1236</t>
  </si>
  <si>
    <t>2025-06-21</t>
  </si>
  <si>
    <t>ORD-2025-1237</t>
  </si>
  <si>
    <t>2025-06-22</t>
  </si>
  <si>
    <t>ORD-2025-1238</t>
  </si>
  <si>
    <t>ORD-2025-1239</t>
  </si>
  <si>
    <t>2025-06-23</t>
  </si>
  <si>
    <t>ORD-2025-1240</t>
  </si>
  <si>
    <t>2025-06-24</t>
  </si>
  <si>
    <t>ORD-2025-1241</t>
  </si>
  <si>
    <t>2025-06-25</t>
  </si>
  <si>
    <t>ORD-2025-1242</t>
  </si>
  <si>
    <t>ORD-2025-1243</t>
  </si>
  <si>
    <t>2025-06-26</t>
  </si>
  <si>
    <t>ORD-2025-1244</t>
  </si>
  <si>
    <t>2025-06-27</t>
  </si>
  <si>
    <t>ORD-2025-1245</t>
  </si>
  <si>
    <t>ORD-2025-1246</t>
  </si>
  <si>
    <t>2025-06-28</t>
  </si>
  <si>
    <t>ORD-2025-1247</t>
  </si>
  <si>
    <t>2025-06-29</t>
  </si>
  <si>
    <t>ORD-2025-1248</t>
  </si>
  <si>
    <t>2025-06-30</t>
  </si>
  <si>
    <t>ORD-2025-1249</t>
  </si>
  <si>
    <t>ORD-2025-1250</t>
  </si>
  <si>
    <t>2025-07-01</t>
  </si>
  <si>
    <t>ORD-2025-1251</t>
  </si>
  <si>
    <t>2025-07-02</t>
  </si>
  <si>
    <t>ORD-2025-1252</t>
  </si>
  <si>
    <t>2025-07-03</t>
  </si>
  <si>
    <t>ORD-2025-1253</t>
  </si>
  <si>
    <t>ORD-2025-1254</t>
  </si>
  <si>
    <t>2025-07-04</t>
  </si>
  <si>
    <t>ORD-2025-1255</t>
  </si>
  <si>
    <t>2025-07-05</t>
  </si>
  <si>
    <t>ORD-2025-1256</t>
  </si>
  <si>
    <t>2025-07-06</t>
  </si>
  <si>
    <t>ORD-2025-1257</t>
  </si>
  <si>
    <t>ORD-2025-1258</t>
  </si>
  <si>
    <t>2025-07-07</t>
  </si>
  <si>
    <t>ORD-2025-1259</t>
  </si>
  <si>
    <t>2025-07-08</t>
  </si>
  <si>
    <t>ORD-2025-1260</t>
  </si>
  <si>
    <t>ORD-2025-1261</t>
  </si>
  <si>
    <t>2025-07-09</t>
  </si>
  <si>
    <t>ORD-2025-1262</t>
  </si>
  <si>
    <t>2025-07-10</t>
  </si>
  <si>
    <t>ORD-2025-1263</t>
  </si>
  <si>
    <t>2025-07-11</t>
  </si>
  <si>
    <t>ORD-2025-1264</t>
  </si>
  <si>
    <t>ORD-2025-1265</t>
  </si>
  <si>
    <t>2025-07-12</t>
  </si>
  <si>
    <t>ORD-2025-1266</t>
  </si>
  <si>
    <t>2025-07-13</t>
  </si>
  <si>
    <t>ORD-2025-1267</t>
  </si>
  <si>
    <t>2025-07-14</t>
  </si>
  <si>
    <t>ORD-2025-1268</t>
  </si>
  <si>
    <t>ORD-2025-1269</t>
  </si>
  <si>
    <t>2025-07-15</t>
  </si>
  <si>
    <t>ORD-2025-1270</t>
  </si>
  <si>
    <t>2025-07-16</t>
  </si>
  <si>
    <t>ORD-2025-1271</t>
  </si>
  <si>
    <t>ORD-2025-1272</t>
  </si>
  <si>
    <t>2025-07-17</t>
  </si>
  <si>
    <t>ORD-2025-1273</t>
  </si>
  <si>
    <t>2025-07-18</t>
  </si>
  <si>
    <t>ORD-2025-1274</t>
  </si>
  <si>
    <t>2025-07-19</t>
  </si>
  <si>
    <t>ORD-2025-1275</t>
  </si>
  <si>
    <t>ORD-2025-1276</t>
  </si>
  <si>
    <t>2025-07-20</t>
  </si>
  <si>
    <t>ORD-2025-1277</t>
  </si>
  <si>
    <t>2025-07-21</t>
  </si>
  <si>
    <t>ORD-2025-1278</t>
  </si>
  <si>
    <t>2025-07-22</t>
  </si>
  <si>
    <t>ORD-2025-1279</t>
  </si>
  <si>
    <t>ORD-2025-1280</t>
  </si>
  <si>
    <t>2025-07-23</t>
  </si>
  <si>
    <t>ORD-2025-1281</t>
  </si>
  <si>
    <t>2025-07-24</t>
  </si>
  <si>
    <t>ORD-2025-1282</t>
  </si>
  <si>
    <t>ORD-2025-1283</t>
  </si>
  <si>
    <t>2025-07-25</t>
  </si>
  <si>
    <t>ORD-2025-1284</t>
  </si>
  <si>
    <t>2025-07-26</t>
  </si>
  <si>
    <t>ORD-2025-1285</t>
  </si>
  <si>
    <t>2025-07-27</t>
  </si>
  <si>
    <t>ORD-2025-1286</t>
  </si>
  <si>
    <t>ORD-2025-1287</t>
  </si>
  <si>
    <t>2025-07-28</t>
  </si>
  <si>
    <t>ORD-2025-1288</t>
  </si>
  <si>
    <t>2025-07-29</t>
  </si>
  <si>
    <t>ORD-2025-1289</t>
  </si>
  <si>
    <t>2025-07-30</t>
  </si>
  <si>
    <t>ORD-2025-1290</t>
  </si>
  <si>
    <t>ORD-2025-1291</t>
  </si>
  <si>
    <t>2025-07-31</t>
  </si>
  <si>
    <t>ORD-2025-1292</t>
  </si>
  <si>
    <t>2025-08-01</t>
  </si>
  <si>
    <t>ORD-2025-1293</t>
  </si>
  <si>
    <t>2025-08-02</t>
  </si>
  <si>
    <t>ORD-2025-1294</t>
  </si>
  <si>
    <t>ORD-2025-1295</t>
  </si>
  <si>
    <t>2025-08-03</t>
  </si>
  <si>
    <t>ORD-2025-1296</t>
  </si>
  <si>
    <t>2025-08-04</t>
  </si>
  <si>
    <t>ORD-2025-1297</t>
  </si>
  <si>
    <t>ORD-2025-1298</t>
  </si>
  <si>
    <t>2025-08-05</t>
  </si>
  <si>
    <t>ORD-2025-1299</t>
  </si>
  <si>
    <t>2025-08-06</t>
  </si>
  <si>
    <t>ORD-2025-1300</t>
  </si>
  <si>
    <t>2025-08-07</t>
  </si>
  <si>
    <t>ORD-2025-1301</t>
  </si>
  <si>
    <t>ORD-2025-1302</t>
  </si>
  <si>
    <t>2025-08-08</t>
  </si>
  <si>
    <t>ORD-2025-1303</t>
  </si>
  <si>
    <t>2025-08-09</t>
  </si>
  <si>
    <t>ORD-2025-1304</t>
  </si>
  <si>
    <t>2025-08-10</t>
  </si>
  <si>
    <t>ORD-2025-1305</t>
  </si>
  <si>
    <t>ORD-2025-1306</t>
  </si>
  <si>
    <t>2025-08-11</t>
  </si>
  <si>
    <t>ORD-2025-1307</t>
  </si>
  <si>
    <t>2025-08-12</t>
  </si>
  <si>
    <t>ORD-2025-1308</t>
  </si>
  <si>
    <t>ORD-2025-1309</t>
  </si>
  <si>
    <t>2025-08-13</t>
  </si>
  <si>
    <t>ORD-2025-1310</t>
  </si>
  <si>
    <t>2025-08-14</t>
  </si>
  <si>
    <t>ORD-2025-1311</t>
  </si>
  <si>
    <t>2025-08-15</t>
  </si>
  <si>
    <t>ORD-2025-1312</t>
  </si>
  <si>
    <t>ORD-2025-1313</t>
  </si>
  <si>
    <t>2025-08-16</t>
  </si>
  <si>
    <t>ORD-2025-1314</t>
  </si>
  <si>
    <t>2025-08-17</t>
  </si>
  <si>
    <t>ORD-2025-1315</t>
  </si>
  <si>
    <t>2025-08-18</t>
  </si>
  <si>
    <t>ORD-2025-1316</t>
  </si>
  <si>
    <t>ORD-2025-1317</t>
  </si>
  <si>
    <t>2025-08-19</t>
  </si>
  <si>
    <t>ORD-2025-1318</t>
  </si>
  <si>
    <t>2025-08-20</t>
  </si>
  <si>
    <t>ORD-2025-1319</t>
  </si>
  <si>
    <t>ORD-2025-1320</t>
  </si>
  <si>
    <t>2025-08-21</t>
  </si>
  <si>
    <t>ORD-2025-1321</t>
  </si>
  <si>
    <t>2025-08-22</t>
  </si>
  <si>
    <t>ORD-2025-1322</t>
  </si>
  <si>
    <t>2025-08-23</t>
  </si>
  <si>
    <t>ORD-2025-1323</t>
  </si>
  <si>
    <t>ORD-2025-1324</t>
  </si>
  <si>
    <t>2025-08-24</t>
  </si>
  <si>
    <t>ORD-2025-1325</t>
  </si>
  <si>
    <t>2025-08-25</t>
  </si>
  <si>
    <t>ORD-2025-1326</t>
  </si>
  <si>
    <t>2025-08-26</t>
  </si>
  <si>
    <t>ORD-2025-1327</t>
  </si>
  <si>
    <t>ORD-2025-1328</t>
  </si>
  <si>
    <t>2025-08-27</t>
  </si>
  <si>
    <t>ORD-2025-1329</t>
  </si>
  <si>
    <t>2025-08-28</t>
  </si>
  <si>
    <t>ORD-2025-1330</t>
  </si>
  <si>
    <t>ORD-2025-1331</t>
  </si>
  <si>
    <t>2025-08-29</t>
  </si>
  <si>
    <t>ORD-2025-1332</t>
  </si>
  <si>
    <t>2025-08-30</t>
  </si>
  <si>
    <t>ORD-2025-1333</t>
  </si>
  <si>
    <t>2025-08-31</t>
  </si>
  <si>
    <t>ORD-2025-1334</t>
  </si>
  <si>
    <t>ORD-2025-1335</t>
  </si>
  <si>
    <t>2025-09-01</t>
  </si>
  <si>
    <t>ORD-2025-1336</t>
  </si>
  <si>
    <t>2025-09-02</t>
  </si>
  <si>
    <t>ORD-2025-1337</t>
  </si>
  <si>
    <t>2025-09-03</t>
  </si>
  <si>
    <t>ORD-2025-1338</t>
  </si>
  <si>
    <t>ORD-2025-1339</t>
  </si>
  <si>
    <t>2025-09-04</t>
  </si>
  <si>
    <t>ORD-2025-1340</t>
  </si>
  <si>
    <t>2025-09-05</t>
  </si>
  <si>
    <t>ORD-2025-1341</t>
  </si>
  <si>
    <t>2025-09-06</t>
  </si>
  <si>
    <t>ORD-2025-1342</t>
  </si>
  <si>
    <t>ORD-2025-1343</t>
  </si>
  <si>
    <t>2025-09-07</t>
  </si>
  <si>
    <t>ORD-2025-1344</t>
  </si>
  <si>
    <t>2025-09-08</t>
  </si>
  <si>
    <t>ORD-2025-1345</t>
  </si>
  <si>
    <t>ORD-2025-1346</t>
  </si>
  <si>
    <t>2025-09-09</t>
  </si>
  <si>
    <t>ORD-2025-1347</t>
  </si>
  <si>
    <t>2025-09-10</t>
  </si>
  <si>
    <t>ORD-2025-1348</t>
  </si>
  <si>
    <t>2025-09-11</t>
  </si>
  <si>
    <t>ORD-2025-1349</t>
  </si>
  <si>
    <t>ORD-2025-1350</t>
  </si>
  <si>
    <t>2025-09-12</t>
  </si>
  <si>
    <t>ORD-2025-1351</t>
  </si>
  <si>
    <t>2025-09-13</t>
  </si>
  <si>
    <t>ORD-2025-1352</t>
  </si>
  <si>
    <t>2025-09-14</t>
  </si>
  <si>
    <t>ORD-2025-1353</t>
  </si>
  <si>
    <t>ORD-2025-1354</t>
  </si>
  <si>
    <t>2025-09-15</t>
  </si>
  <si>
    <t>ORD-2025-1355</t>
  </si>
  <si>
    <t>2025-09-16</t>
  </si>
  <si>
    <t>ORD-2025-1356</t>
  </si>
  <si>
    <t>ORD-2025-1357</t>
  </si>
  <si>
    <t>2025-09-17</t>
  </si>
  <si>
    <t>ORD-2025-1358</t>
  </si>
  <si>
    <t>2025-09-18</t>
  </si>
  <si>
    <t>ORD-2025-1359</t>
  </si>
  <si>
    <t>2025-09-19</t>
  </si>
  <si>
    <t>ORD-2025-1360</t>
  </si>
  <si>
    <t>ORD-2025-1361</t>
  </si>
  <si>
    <t>2025-09-20</t>
  </si>
  <si>
    <t>ORD-2025-1362</t>
  </si>
  <si>
    <t>2025-09-21</t>
  </si>
  <si>
    <t>ORD-2025-1363</t>
  </si>
  <si>
    <t>2025-09-22</t>
  </si>
  <si>
    <t>ORD-2025-1364</t>
  </si>
  <si>
    <t>ORD-2025-1365</t>
  </si>
  <si>
    <t>2025-09-23</t>
  </si>
  <si>
    <t>ORD-2025-1366</t>
  </si>
  <si>
    <t>2025-09-24</t>
  </si>
  <si>
    <t>ORD-2025-1367</t>
  </si>
  <si>
    <t>ORD-2025-1368</t>
  </si>
  <si>
    <t>2025-09-25</t>
  </si>
  <si>
    <t>ORD-2025-1369</t>
  </si>
  <si>
    <t>2025-09-26</t>
  </si>
  <si>
    <t>ORD-2025-1370</t>
  </si>
  <si>
    <t>2025-09-27</t>
  </si>
  <si>
    <t>ORD-2025-1371</t>
  </si>
  <si>
    <t>ORD-2025-1372</t>
  </si>
  <si>
    <t>2025-09-28</t>
  </si>
  <si>
    <t>ORD-2025-1373</t>
  </si>
  <si>
    <t>2025-09-29</t>
  </si>
  <si>
    <t>ORD-2025-1374</t>
  </si>
  <si>
    <t>2025-09-30</t>
  </si>
  <si>
    <t>ORD-2025-1375</t>
  </si>
  <si>
    <t>ORD-2025-1376</t>
  </si>
  <si>
    <t>2025-10-01</t>
  </si>
  <si>
    <t>ORD-2025-1377</t>
  </si>
  <si>
    <t>2025-10-02</t>
  </si>
  <si>
    <t>ORD-2025-1378</t>
  </si>
  <si>
    <t>2025-10-03</t>
  </si>
  <si>
    <t>ORD-2025-1379</t>
  </si>
  <si>
    <t>ORD-2025-1380</t>
  </si>
  <si>
    <t>2025-10-04</t>
  </si>
  <si>
    <t>ORD-2025-1381</t>
  </si>
  <si>
    <t>2025-10-05</t>
  </si>
  <si>
    <t>ORD-2025-1382</t>
  </si>
  <si>
    <t>ORD-2025-1383</t>
  </si>
  <si>
    <t>2025-10-06</t>
  </si>
  <si>
    <t>ORD-2025-1384</t>
  </si>
  <si>
    <t>2025-10-07</t>
  </si>
  <si>
    <t>ORD-2025-1385</t>
  </si>
  <si>
    <t>2025-10-08</t>
  </si>
  <si>
    <t>ORD-2025-1386</t>
  </si>
  <si>
    <t>ORD-2025-1387</t>
  </si>
  <si>
    <t>2025-10-09</t>
  </si>
  <si>
    <t>ORD-2025-1388</t>
  </si>
  <si>
    <t>2025-10-10</t>
  </si>
  <si>
    <t>ORD-2025-1389</t>
  </si>
  <si>
    <t>2025-10-11</t>
  </si>
  <si>
    <t>ORD-2025-1390</t>
  </si>
  <si>
    <t>ORD-2025-1391</t>
  </si>
  <si>
    <t>2025-10-12</t>
  </si>
  <si>
    <t>ORD-2025-1392</t>
  </si>
  <si>
    <t>2025-10-13</t>
  </si>
  <si>
    <t>ORD-2025-1393</t>
  </si>
  <si>
    <t>ORD-2025-1394</t>
  </si>
  <si>
    <t>2025-10-14</t>
  </si>
  <si>
    <t>ORD-2025-1395</t>
  </si>
  <si>
    <t>2025-10-15</t>
  </si>
  <si>
    <t>ORD-2025-1396</t>
  </si>
  <si>
    <t>2025-10-16</t>
  </si>
  <si>
    <t>ORD-2025-1397</t>
  </si>
  <si>
    <t>ORD-2025-1398</t>
  </si>
  <si>
    <t>2025-10-17</t>
  </si>
  <si>
    <t>ORD-2025-1399</t>
  </si>
  <si>
    <t>2025-10-18</t>
  </si>
  <si>
    <t>ORD-2025-1400</t>
  </si>
  <si>
    <t>2025-10-19</t>
  </si>
  <si>
    <t>ORD-2025-1401</t>
  </si>
  <si>
    <t>ORD-2025-1402</t>
  </si>
  <si>
    <t>2025-10-20</t>
  </si>
  <si>
    <t>ORD-2025-1403</t>
  </si>
  <si>
    <t>2025-10-21</t>
  </si>
  <si>
    <t>ORD-2025-1404</t>
  </si>
  <si>
    <t>ORD-2025-1405</t>
  </si>
  <si>
    <t>2025-10-22</t>
  </si>
  <si>
    <t>ORD-2025-1406</t>
  </si>
  <si>
    <t>2025-10-23</t>
  </si>
  <si>
    <t>ORD-2025-1407</t>
  </si>
  <si>
    <t>2025-10-24</t>
  </si>
  <si>
    <t>ORD-2025-1408</t>
  </si>
  <si>
    <t>ORD-2025-1409</t>
  </si>
  <si>
    <t>2025-10-25</t>
  </si>
  <si>
    <t>ORD-2025-1410</t>
  </si>
  <si>
    <t>2025-10-26</t>
  </si>
  <si>
    <t>ORD-2025-1411</t>
  </si>
  <si>
    <t>2025-10-27</t>
  </si>
  <si>
    <t>ORD-2025-1412</t>
  </si>
  <si>
    <t>ORD-2025-1413</t>
  </si>
  <si>
    <t>2025-10-28</t>
  </si>
  <si>
    <t>ORD-2025-1414</t>
  </si>
  <si>
    <t>2025-10-29</t>
  </si>
  <si>
    <t>ORD-2025-1415</t>
  </si>
  <si>
    <t>ORD-2025-1416</t>
  </si>
  <si>
    <t>2025-10-30</t>
  </si>
  <si>
    <t>ORD-2025-1417</t>
  </si>
  <si>
    <t>2025-10-31</t>
  </si>
  <si>
    <t>ORD-2025-1418</t>
  </si>
  <si>
    <t>2025-11-01</t>
  </si>
  <si>
    <t>ORD-2025-1419</t>
  </si>
  <si>
    <t>ORD-2025-1420</t>
  </si>
  <si>
    <t>2025-11-02</t>
  </si>
  <si>
    <t>ORD-2025-1421</t>
  </si>
  <si>
    <t>2025-11-03</t>
  </si>
  <si>
    <t>ORD-2025-1422</t>
  </si>
  <si>
    <t>2025-11-04</t>
  </si>
  <si>
    <t>ORD-2025-1423</t>
  </si>
  <si>
    <t>ORD-2025-1424</t>
  </si>
  <si>
    <t>2025-11-05</t>
  </si>
  <si>
    <t>ORD-2025-1425</t>
  </si>
  <si>
    <t>2025-11-06</t>
  </si>
  <si>
    <t>ORD-2025-1426</t>
  </si>
  <si>
    <t>2025-11-07</t>
  </si>
  <si>
    <t>ORD-2025-1427</t>
  </si>
  <si>
    <t>ORD-2025-1428</t>
  </si>
  <si>
    <t>2025-11-08</t>
  </si>
  <si>
    <t>ORD-2025-1429</t>
  </si>
  <si>
    <t>2025-11-09</t>
  </si>
  <si>
    <t>ORD-2025-1430</t>
  </si>
  <si>
    <t>ORD-2025-1431</t>
  </si>
  <si>
    <t>2025-11-10</t>
  </si>
  <si>
    <t>ORD-2025-1432</t>
  </si>
  <si>
    <t>2025-11-11</t>
  </si>
  <si>
    <t>ORD-2025-1433</t>
  </si>
  <si>
    <t>2025-11-12</t>
  </si>
  <si>
    <t>ORD-2025-1434</t>
  </si>
  <si>
    <t>ORD-2025-1435</t>
  </si>
  <si>
    <t>2025-11-13</t>
  </si>
  <si>
    <t>ORD-2025-1436</t>
  </si>
  <si>
    <t>2025-11-14</t>
  </si>
  <si>
    <t>ORD-2025-1437</t>
  </si>
  <si>
    <t>2025-11-15</t>
  </si>
  <si>
    <t>ORD-2025-1438</t>
  </si>
  <si>
    <t>ORD-2025-1439</t>
  </si>
  <si>
    <t>2025-11-16</t>
  </si>
  <si>
    <t>ORD-2025-1440</t>
  </si>
  <si>
    <t>2025-11-17</t>
  </si>
  <si>
    <t>ORD-2025-1441</t>
  </si>
  <si>
    <t>ORD-2025-1442</t>
  </si>
  <si>
    <t>2025-11-18</t>
  </si>
  <si>
    <t>ORD-2025-1443</t>
  </si>
  <si>
    <t>2025-11-19</t>
  </si>
  <si>
    <t>ORD-2025-1444</t>
  </si>
  <si>
    <t>2025-11-20</t>
  </si>
  <si>
    <t>ORD-2025-1445</t>
  </si>
  <si>
    <t>ORD-2025-1446</t>
  </si>
  <si>
    <t>2025-11-21</t>
  </si>
  <si>
    <t>ORD-2025-1447</t>
  </si>
  <si>
    <t>2025-11-22</t>
  </si>
  <si>
    <t>ORD-2025-1448</t>
  </si>
  <si>
    <t>2025-11-23</t>
  </si>
  <si>
    <t>ORD-2025-1449</t>
  </si>
  <si>
    <t>ORD-2025-1450</t>
  </si>
  <si>
    <t>2025-11-24</t>
  </si>
  <si>
    <t>ORD-2025-1451</t>
  </si>
  <si>
    <t>2025-11-25</t>
  </si>
  <si>
    <t>ORD-2025-1452</t>
  </si>
  <si>
    <t>ORD-2025-1453</t>
  </si>
  <si>
    <t>2025-11-26</t>
  </si>
  <si>
    <t>ORD-2025-1454</t>
  </si>
  <si>
    <t>2025-11-27</t>
  </si>
  <si>
    <t>ORD-2025-1455</t>
  </si>
  <si>
    <t>2025-11-28</t>
  </si>
  <si>
    <t>ORD-2025-1456</t>
  </si>
  <si>
    <t>ORD-2025-1457</t>
  </si>
  <si>
    <t>2025-11-29</t>
  </si>
  <si>
    <t>ORD-2025-1458</t>
  </si>
  <si>
    <t>2025-11-30</t>
  </si>
  <si>
    <t>ORD-2025-1459</t>
  </si>
  <si>
    <t>2025-12-01</t>
  </si>
  <si>
    <t>ORD-2025-1460</t>
  </si>
  <si>
    <t>ORD-2025-1461</t>
  </si>
  <si>
    <t>2025-12-02</t>
  </si>
  <si>
    <t>ORD-2025-1462</t>
  </si>
  <si>
    <t>2025-12-03</t>
  </si>
  <si>
    <t>ORD-2025-1463</t>
  </si>
  <si>
    <t>2025-12-04</t>
  </si>
  <si>
    <t>ORD-2025-1464</t>
  </si>
  <si>
    <t>ORD-2025-1465</t>
  </si>
  <si>
    <t>2025-12-05</t>
  </si>
  <si>
    <t>ORD-2025-1466</t>
  </si>
  <si>
    <t>2025-12-06</t>
  </si>
  <si>
    <t>ORD-2025-1467</t>
  </si>
  <si>
    <t>ORD-2025-1468</t>
  </si>
  <si>
    <t>2025-12-07</t>
  </si>
  <si>
    <t>ORD-2025-1469</t>
  </si>
  <si>
    <t>2025-12-08</t>
  </si>
  <si>
    <t>ORD-2025-1470</t>
  </si>
  <si>
    <t>2025-12-09</t>
  </si>
  <si>
    <t>ORD-2025-1471</t>
  </si>
  <si>
    <t>ORD-2025-1472</t>
  </si>
  <si>
    <t>2025-12-10</t>
  </si>
  <si>
    <t>ORD-2025-1473</t>
  </si>
  <si>
    <t>2025-12-11</t>
  </si>
  <si>
    <t>ORD-2025-1474</t>
  </si>
  <si>
    <t>2025-12-12</t>
  </si>
  <si>
    <t>ORD-2025-1475</t>
  </si>
  <si>
    <t>ORD-2025-1476</t>
  </si>
  <si>
    <t>2025-12-13</t>
  </si>
  <si>
    <t>ORD-2025-1477</t>
  </si>
  <si>
    <t>2025-12-14</t>
  </si>
  <si>
    <t>ORD-2025-1478</t>
  </si>
  <si>
    <t>ORD-2025-1479</t>
  </si>
  <si>
    <t>2025-12-15</t>
  </si>
  <si>
    <t>ORD-2025-1480</t>
  </si>
  <si>
    <t>2025-12-16</t>
  </si>
  <si>
    <t>ORD-2025-1481</t>
  </si>
  <si>
    <t>2025-12-17</t>
  </si>
  <si>
    <t>ORD-2025-1482</t>
  </si>
  <si>
    <t>ORD-2025-1483</t>
  </si>
  <si>
    <t>2025-12-18</t>
  </si>
  <si>
    <t>ORD-2025-1484</t>
  </si>
  <si>
    <t>2025-12-19</t>
  </si>
  <si>
    <t>ORD-2025-1485</t>
  </si>
  <si>
    <t>2025-12-20</t>
  </si>
  <si>
    <t>ORD-2025-1486</t>
  </si>
  <si>
    <t>ORD-2025-1487</t>
  </si>
  <si>
    <t>2025-12-21</t>
  </si>
  <si>
    <t>ORD-2025-1488</t>
  </si>
  <si>
    <t>2025-12-22</t>
  </si>
  <si>
    <t>ORD-2025-1489</t>
  </si>
  <si>
    <t>ORD-2025-1490</t>
  </si>
  <si>
    <t>2025-12-23</t>
  </si>
  <si>
    <t>ORD-2025-1491</t>
  </si>
  <si>
    <t>2025-12-24</t>
  </si>
  <si>
    <t>ORD-2025-1492</t>
  </si>
  <si>
    <t>2025-12-25</t>
  </si>
  <si>
    <t>ORD-2025-1493</t>
  </si>
  <si>
    <t>ORD-2025-1494</t>
  </si>
  <si>
    <t>2025-12-26</t>
  </si>
  <si>
    <t>ORD-2025-1495</t>
  </si>
  <si>
    <t>2025-12-27</t>
  </si>
  <si>
    <t>ORD-2025-1496</t>
  </si>
  <si>
    <t>2025-12-28</t>
  </si>
  <si>
    <t>ORD-2025-1497</t>
  </si>
  <si>
    <t>ORD-2025-1498</t>
  </si>
  <si>
    <t>2025-12-29</t>
  </si>
  <si>
    <t>ORD-2025-1499</t>
  </si>
  <si>
    <t>2025-12-30</t>
  </si>
  <si>
    <t>ORD-2025-1500</t>
  </si>
  <si>
    <t>2025-12-31</t>
  </si>
  <si>
    <t>Unknown</t>
  </si>
  <si>
    <t>Year-Month</t>
  </si>
  <si>
    <t>Profit Margin %</t>
  </si>
  <si>
    <t>EXECUTIVE SALES DASHBOARD (2025)</t>
  </si>
  <si>
    <t>Total Revenue</t>
  </si>
  <si>
    <t>Total Profit</t>
  </si>
  <si>
    <t>Total Orders</t>
  </si>
  <si>
    <t>Profit Margin</t>
  </si>
  <si>
    <t>Row Labels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</si>
  <si>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</si>
  <si>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</si>
  <si>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</si>
  <si>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</si>
  <si>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</si>
  <si>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</si>
  <si>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</si>
  <si>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</si>
  <si>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</si>
  <si>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</si>
  <si>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</si>
  <si>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</si>
  <si>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Grand Total</t>
  </si>
  <si>
    <t>Sum of Sales</t>
  </si>
  <si>
    <t>Sum of Profit</t>
  </si>
  <si>
    <t>Average of Profit Margin %</t>
  </si>
  <si>
    <t>Average Order Value</t>
  </si>
  <si>
    <t>Top Revenue Product</t>
  </si>
  <si>
    <t>High Discount Orders(&gt;=15%)</t>
  </si>
  <si>
    <t>Average Profit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</si>
</sst>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3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10" fontId="3" fillId="0" borderId="2" xfId="0" applyNumberFormat="1" applyFont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2" fontId="4" fillId="6" borderId="1" xfId="0" applyNumberFormat="1" applyFont="1" applyFill="1" applyBorder="1"/>
    <xf numFmtId="10" fontId="4" fillId="5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pivotButton="1" applyNumberFormat="1"/>
    <xf numFmtId="165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pivotButton="1" applyNumberFormat="1"/>
    <xf numFmtId="0" fontId="6" fillId="0" borderId="0" xfId="0" applyFont="1"/>
    <xf numFmtId="0" fontId="5" fillId="5" borderId="1" xfId="0" applyFont="1" applyFill="1" applyBorder="1"/>
    <xf numFmtId="0" fontId="6" fillId="6" borderId="1" xfId="0" applyFont="1" applyFill="1" applyBorder="1"/>
    <xf numFmtId="0" fontId="6" fillId="7" borderId="1" xfId="0" applyFont="1" applyFill="1" applyBorder="1"/>
    <xf numFmtId="0" fontId="0" fillId="7" borderId="1" xfId="0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7" borderId="1" xfId="0" applyFont="1" applyFill="1" applyBorder="1"/>
    <xf numFmtId="0" fontId="7" fillId="8" borderId="1" xfId="0" applyFon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4" fillId="8" borderId="1" xfId="0" applyNumberFormat="1" applyFont="1" applyFill="1" applyBorder="1" applyAlignment="1">
      <alignment horizontal="left" indent="1"/>
    </xf>
    <xf numFmtId="164" fontId="6" fillId="5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165" formatCode="&quot;₹&quot;\ #,##0.00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[Level­_2_Beginner_Sales_Dashboard.xlsx]Pivot_Tables!PivotTable1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200" b="1">
                <a:solidFill>
                  <a:schemeClr val="bg2">
                    <a:lumMod val="10000"/>
                  </a:schemeClr>
                </a:solidFill>
                <a:latin typeface="+mj-lt"/>
              </a:rPr>
              <a:t>Monthly Revenue Trend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2">
                  <a:lumMod val="10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Pivot_Tables!$A$4:$A$16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Pivot_Tables!$B$4:$B$16</c:f>
              <c:numCache>
                <c:formatCode>"₹"\ #,##0.00</c:formatCode>
                <c:ptCount val="12"/>
                <c:pt idx="0">
                  <c:v>17158.849999999999</c:v>
                </c:pt>
                <c:pt idx="1">
                  <c:v>50738.85</c:v>
                </c:pt>
                <c:pt idx="2">
                  <c:v>48978.5</c:v>
                </c:pt>
                <c:pt idx="3">
                  <c:v>28628.25</c:v>
                </c:pt>
                <c:pt idx="4">
                  <c:v>47813.65</c:v>
                </c:pt>
                <c:pt idx="5">
                  <c:v>25164.15</c:v>
                </c:pt>
                <c:pt idx="6">
                  <c:v>38581.5</c:v>
                </c:pt>
                <c:pt idx="7">
                  <c:v>22442.1</c:v>
                </c:pt>
                <c:pt idx="8">
                  <c:v>34641.449999999997</c:v>
                </c:pt>
                <c:pt idx="9">
                  <c:v>42272.75</c:v>
                </c:pt>
                <c:pt idx="10">
                  <c:v>34395.300000000003</c:v>
                </c:pt>
                <c:pt idx="11">
                  <c:v>30638.7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B5-405C-92EE-FD834BF77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7549056"/>
        <c:axId val="170578192"/>
      </c:lineChart>
      <c:catAx>
        <c:axId val="29754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78192"/>
        <c:crosses val="autoZero"/>
        <c:auto val="1"/>
        <c:lblAlgn val="ctr"/>
        <c:lblOffset val="100"/>
        <c:noMultiLvlLbl val="0"/>
      </c:catAx>
      <c:valAx>
        <c:axId val="17057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4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[Level­_2_Beginner_Sales_Dashboard.xlsx]Pivot_Tables!PivotTable2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0" baseline="0">
                <a:solidFill>
                  <a:schemeClr val="tx2">
                    <a:lumMod val="7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IN" sz="1200" b="1">
                <a:solidFill>
                  <a:schemeClr val="tx2">
                    <a:lumMod val="75000"/>
                  </a:schemeClr>
                </a:solidFill>
                <a:latin typeface="+mj-lt"/>
              </a:rPr>
              <a:t>Revenue</a:t>
            </a:r>
            <a:r>
              <a:rPr lang="en-IN" sz="1200" b="1" baseline="0">
                <a:solidFill>
                  <a:schemeClr val="tx2">
                    <a:lumMod val="75000"/>
                  </a:schemeClr>
                </a:solidFill>
                <a:latin typeface="+mj-lt"/>
              </a:rPr>
              <a:t> &amp; Profit by Category</a:t>
            </a:r>
            <a:endParaRPr lang="en-IN" sz="1200" b="1">
              <a:solidFill>
                <a:schemeClr val="tx2">
                  <a:lumMod val="75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0.27733382358687519"/>
          <c:y val="4.3757396831681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0" baseline="0">
              <a:solidFill>
                <a:schemeClr val="tx2">
                  <a:lumMod val="75000"/>
                </a:schemeClr>
              </a:solidFill>
              <a:latin typeface="+mj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Pivot_Tables!$F$3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Pivot_Tables!$E$4:$E$7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Pivot_Tables!$F$4:$F$7</c:f>
              <c:numCache>
                <c:formatCode>"₹"\ #,##0.00</c:formatCode>
                <c:ptCount val="3"/>
                <c:pt idx="0">
                  <c:v>159727.75</c:v>
                </c:pt>
                <c:pt idx="1">
                  <c:v>12077.800000000003</c:v>
                </c:pt>
                <c:pt idx="2">
                  <c:v>249648.5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B-4447-89D3-D1F0067D0651}"/>
            </c:ext>
          </c:extLst>
        </c:ser>
        <c:ser>
          <c:idx val="1"/>
          <c:order val="1"/>
          <c:tx>
            <c:strRef>
              <c:f>Pivot_Tables!$G$3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Pivot_Tables!$E$4:$E$7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Pivot_Tables!$G$4:$G$7</c:f>
              <c:numCache>
                <c:formatCode>"₹"\ #,##0.00</c:formatCode>
                <c:ptCount val="3"/>
                <c:pt idx="0">
                  <c:v>114061.75</c:v>
                </c:pt>
                <c:pt idx="1">
                  <c:v>7652.8</c:v>
                </c:pt>
                <c:pt idx="2">
                  <c:v>178693.5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B-4447-89D3-D1F0067D0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500912"/>
        <c:axId val="170541232"/>
      </c:barChart>
      <c:catAx>
        <c:axId val="4435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1232"/>
        <c:crosses val="autoZero"/>
        <c:auto val="1"/>
        <c:lblAlgn val="ctr"/>
        <c:lblOffset val="100"/>
        <c:noMultiLvlLbl val="0"/>
      </c:catAx>
      <c:valAx>
        <c:axId val="1705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93919510061252"/>
          <c:y val="0.45920874474024087"/>
          <c:w val="0.1773941382327209"/>
          <c:h val="0.223215848018997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[Level­_2_Beginner_Sales_Dashboard.xlsx]Pivot_Tables!PivotTable3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IN" sz="1200" b="1">
                <a:solidFill>
                  <a:schemeClr val="accent2">
                    <a:lumMod val="75000"/>
                  </a:schemeClr>
                </a:solidFill>
                <a:latin typeface="+mj-lt"/>
              </a:rPr>
              <a:t>Regional</a:t>
            </a:r>
            <a:r>
              <a:rPr lang="en-IN" sz="1200" b="1" baseline="0">
                <a:solidFill>
                  <a:schemeClr val="accent2">
                    <a:lumMod val="75000"/>
                  </a:schemeClr>
                </a:solidFill>
                <a:latin typeface="+mj-lt"/>
              </a:rPr>
              <a:t> Revenue Share</a:t>
            </a:r>
            <a:endParaRPr lang="en-IN" sz="1200" b="1">
              <a:solidFill>
                <a:schemeClr val="accent2">
                  <a:lumMod val="75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0.25713671370204899"/>
          <c:y val="5.3598132177776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0" baseline="0">
              <a:solidFill>
                <a:schemeClr val="accent2">
                  <a:lumMod val="75000"/>
                </a:schemeClr>
              </a:solidFill>
              <a:latin typeface="+mj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61-4A04-9F68-EFDAA7BCA6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61-4A04-9F68-EFDAA7BCA6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61-4A04-9F68-EFDAA7BCA6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61-4A04-9F68-EFDAA7BCA6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61-4A04-9F68-EFDAA7BCA641}"/>
              </c:ext>
            </c:extLst>
          </c:dPt>
          <c:cat>
            <c:strRef>
              <c:f>Pivot_Tables!$A$21:$A$26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Unknown</c:v>
                </c:pt>
                <c:pt idx="4">
                  <c:v>West</c:v>
                </c:pt>
              </c:strCache>
            </c:strRef>
          </c:cat>
          <c:val>
            <c:numRef>
              <c:f>Pivot_Tables!$B$21:$B$26</c:f>
              <c:numCache>
                <c:formatCode>"₹"\ #,##0.00</c:formatCode>
                <c:ptCount val="5"/>
                <c:pt idx="0">
                  <c:v>101805.09999999999</c:v>
                </c:pt>
                <c:pt idx="1">
                  <c:v>116747.20000000001</c:v>
                </c:pt>
                <c:pt idx="2">
                  <c:v>118323.6</c:v>
                </c:pt>
                <c:pt idx="3">
                  <c:v>9720</c:v>
                </c:pt>
                <c:pt idx="4">
                  <c:v>74858.149999999994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61-4A04-9F68-EFDAA7BCA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[Level­_2_Beginner_Sales_Dashboard.xlsx]Pivot_Tables!PivotTable4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accent3">
                    <a:lumMod val="50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200" b="1">
                <a:solidFill>
                  <a:schemeClr val="accent3">
                    <a:lumMod val="50000"/>
                  </a:schemeClr>
                </a:solidFill>
                <a:latin typeface="+mj-lt"/>
              </a:rPr>
              <a:t>Top</a:t>
            </a:r>
            <a:r>
              <a:rPr lang="en-US" sz="1200" b="1" baseline="0">
                <a:solidFill>
                  <a:schemeClr val="accent3">
                    <a:lumMod val="50000"/>
                  </a:schemeClr>
                </a:solidFill>
                <a:latin typeface="+mj-lt"/>
              </a:rPr>
              <a:t> 5 Products by Revenue</a:t>
            </a:r>
            <a:endParaRPr lang="en-US" sz="1200" b="1">
              <a:solidFill>
                <a:schemeClr val="accent3">
                  <a:lumMod val="50000"/>
                </a:schemeClr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accent3">
                  <a:lumMod val="50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Pivot_Tables!$F$20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Pivot_Tables!$E$21:$E$26</c:f>
              <c:strCache>
                <c:ptCount val="5"/>
                <c:pt idx="0">
                  <c:v>4K Monitor</c:v>
                </c:pt>
                <c:pt idx="1">
                  <c:v>Ergonomic Chair</c:v>
                </c:pt>
                <c:pt idx="2">
                  <c:v>File Cabinet</c:v>
                </c:pt>
                <c:pt idx="3">
                  <c:v>Laptop Pro 15</c:v>
                </c:pt>
                <c:pt idx="4">
                  <c:v>Standing Desk</c:v>
                </c:pt>
              </c:strCache>
            </c:strRef>
          </c:cat>
          <c:val>
            <c:numRef>
              <c:f>Pivot_Tables!$F$21:$F$26</c:f>
              <c:numCache>
                <c:formatCode>"₹"\ #,##0.00</c:formatCode>
                <c:ptCount val="5"/>
                <c:pt idx="0">
                  <c:v>47512.5</c:v>
                </c:pt>
                <c:pt idx="1">
                  <c:v>37075</c:v>
                </c:pt>
                <c:pt idx="2">
                  <c:v>19338</c:v>
                </c:pt>
                <c:pt idx="3">
                  <c:v>178440</c:v>
                </c:pt>
                <c:pt idx="4">
                  <c:v>78007.5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A-4AAB-81A1-AD3F4460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240672"/>
        <c:axId val="299768528"/>
      </c:barChart>
      <c:catAx>
        <c:axId val="486240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768528"/>
        <c:crosses val="autoZero"/>
        <c:auto val="1"/>
        <c:lblAlgn val="ctr"/>
        <c:lblOffset val="100"/>
        <c:noMultiLvlLbl val="0"/>
      </c:catAx>
      <c:valAx>
        <c:axId val="29976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24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[Level­_2_Beginner_Sales_Dashboard.xlsx]Pivot_Tables!PivotTable5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+mj-lt"/>
              </a:rPr>
              <a:t>Revenue</a:t>
            </a:r>
            <a:r>
              <a:rPr lang="en-IN" b="1" baseline="0">
                <a:solidFill>
                  <a:schemeClr val="tx1"/>
                </a:solidFill>
                <a:latin typeface="+mj-lt"/>
              </a:rPr>
              <a:t> &amp; Profit by Customer Segment</a:t>
            </a:r>
            <a:endParaRPr lang="en-IN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4788135137171"/>
          <c:y val="0.14979728971976974"/>
          <c:w val="0.59327195121468201"/>
          <c:h val="0.76986768142147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Pivot_Tables!$B$35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Pivot_Tables!$A$36:$A$40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Unknown</c:v>
                </c:pt>
              </c:strCache>
            </c:strRef>
          </c:cat>
          <c:val>
            <c:numRef>
              <c:f>Pivot_Tables!$B$36:$B$40</c:f>
              <c:numCache>
                <c:formatCode>"₹"\ #,##0.00</c:formatCode>
                <c:ptCount val="4"/>
                <c:pt idx="0">
                  <c:v>195827.75</c:v>
                </c:pt>
                <c:pt idx="1">
                  <c:v>137305.35</c:v>
                </c:pt>
                <c:pt idx="2">
                  <c:v>88257.2</c:v>
                </c:pt>
                <c:pt idx="3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9-4533-9D87-CE1092B4310B}"/>
            </c:ext>
          </c:extLst>
        </c:ser>
        <c:ser>
          <c:idx val="1"/>
          <c:order val="1"/>
          <c:tx>
            <c:strRef>
              <c:f>Pivot_Tables!$C$35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Pivot_Tables!$A$36:$A$40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Unknown</c:v>
                </c:pt>
              </c:strCache>
            </c:strRef>
          </c:cat>
          <c:val>
            <c:numRef>
              <c:f>Pivot_Tables!$C$36:$C$40</c:f>
              <c:numCache>
                <c:formatCode>"₹"\ #,##0.00</c:formatCode>
                <c:ptCount val="4"/>
                <c:pt idx="0">
                  <c:v>139435.75</c:v>
                </c:pt>
                <c:pt idx="1">
                  <c:v>97637.35</c:v>
                </c:pt>
                <c:pt idx="2">
                  <c:v>63296.200000000004</c:v>
                </c:pt>
                <c:pt idx="3">
                  <c:v>38.75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9-4533-9D87-CE1092B43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353679"/>
        <c:axId val="396420527"/>
      </c:barChart>
      <c:catAx>
        <c:axId val="38635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20527"/>
        <c:crosses val="autoZero"/>
        <c:auto val="1"/>
        <c:lblAlgn val="ctr"/>
        <c:lblOffset val="100"/>
        <c:noMultiLvlLbl val="0"/>
      </c:catAx>
      <c:valAx>
        <c:axId val="39642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35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[Level­_2_Beginner_Sales_Dashboard.xlsx]Pivot_Tables!PivotTable6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+mj-lt"/>
              </a:rPr>
              <a:t>Discount</a:t>
            </a:r>
            <a:r>
              <a:rPr lang="en-IN" b="1" baseline="0">
                <a:solidFill>
                  <a:schemeClr val="tx1"/>
                </a:solidFill>
                <a:latin typeface="+mj-lt"/>
              </a:rPr>
              <a:t> vs. Profit Margin% </a:t>
            </a:r>
            <a:endParaRPr lang="en-IN" b="1">
              <a:solidFill>
                <a:schemeClr val="tx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0.27292614805946419"/>
          <c:y val="2.7368418784217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Pivot_Tables!$H$35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Pivot_Tables!$G$36:$G$41</c:f>
              <c:strCache>
                <c:ptCount val="5"/>
                <c:pt idx="0">
                  <c:v>0.00%</c:v>
                </c:pt>
                <c:pt idx="1">
                  <c:v>5.00%</c:v>
                </c:pt>
                <c:pt idx="2">
                  <c:v>10.00%</c:v>
                </c:pt>
                <c:pt idx="3">
                  <c:v>15.00%</c:v>
                </c:pt>
                <c:pt idx="4">
                  <c:v>20.00%</c:v>
                </c:pt>
              </c:strCache>
            </c:strRef>
          </c:cat>
          <c:val>
            <c:numRef>
              <c:f>Pivot_Tables!$H$36:$H$41</c:f>
              <c:numCache>
                <c:formatCode>"₹"\ #,##0.00</c:formatCode>
                <c:ptCount val="5"/>
                <c:pt idx="0">
                  <c:v>181782</c:v>
                </c:pt>
                <c:pt idx="1">
                  <c:v>99214.2</c:v>
                </c:pt>
                <c:pt idx="2">
                  <c:v>68421.600000000006</c:v>
                </c:pt>
                <c:pt idx="3">
                  <c:v>48325.049999999996</c:v>
                </c:pt>
                <c:pt idx="4">
                  <c:v>23711.200000000001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9-441E-875D-85A9B023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539775"/>
        <c:axId val="396484367"/>
      </c:barChart>
      <c:lineChart>
        <c:grouping val="standard"/>
        <c:varyColors val="0"/>
        <c:ser>
          <c:idx val="1"/>
          <c:order val="1"/>
          <c:tx>
            <c:strRef>
              <c:f>Pivot_Tables!$I$35</c:f>
              <c:strCache>
                <c:ptCount val="1"/>
                <c:pt idx="0">
                  <c:v>Average of Profit Margin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Pivot_Tables!$G$36:$G$41</c:f>
              <c:strCache>
                <c:ptCount val="5"/>
                <c:pt idx="0">
                  <c:v>0.00%</c:v>
                </c:pt>
                <c:pt idx="1">
                  <c:v>5.00%</c:v>
                </c:pt>
                <c:pt idx="2">
                  <c:v>10.00%</c:v>
                </c:pt>
                <c:pt idx="3">
                  <c:v>15.00%</c:v>
                </c:pt>
                <c:pt idx="4">
                  <c:v>20.00%</c:v>
                </c:pt>
              </c:strCache>
            </c:strRef>
          </c:cat>
          <c:val>
            <c:numRef>
              <c:f>Pivot_Tables!$I$36:$I$41</c:f>
              <c:numCache>
                <c:formatCode>0.00%</c:formatCode>
                <c:ptCount val="5"/>
                <c:pt idx="0">
                  <c:v>0.67440517612364459</c:v>
                </c:pt>
                <c:pt idx="1">
                  <c:v>0.65434339901904215</c:v>
                </c:pt>
                <c:pt idx="2">
                  <c:v>0.63608011706603307</c:v>
                </c:pt>
                <c:pt idx="3">
                  <c:v>0.63223182046711479</c:v>
                </c:pt>
                <c:pt idx="4">
                  <c:v>0.6138722605519481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9-441E-875D-85A9B023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541167"/>
        <c:axId val="396491087"/>
      </c:lineChart>
      <c:catAx>
        <c:axId val="40053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84367"/>
        <c:crosses val="autoZero"/>
        <c:auto val="1"/>
        <c:lblAlgn val="ctr"/>
        <c:lblOffset val="100"/>
        <c:noMultiLvlLbl val="0"/>
      </c:catAx>
      <c:valAx>
        <c:axId val="39648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39775"/>
        <c:crosses val="autoZero"/>
        <c:crossBetween val="between"/>
      </c:valAx>
      <c:valAx>
        <c:axId val="39649108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41167"/>
        <c:crosses val="max"/>
        <c:crossBetween val="between"/>
      </c:valAx>
      <c:catAx>
        <c:axId val="4005411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6491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[Level­_2_Beginner_Sales_Dashboard.xlsx]Pivot_Tables!PivotTable7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+mj-lt"/>
              </a:rPr>
              <a:t>Product</a:t>
            </a:r>
            <a:r>
              <a:rPr lang="en-US" b="1" baseline="0">
                <a:solidFill>
                  <a:schemeClr val="tx1"/>
                </a:solidFill>
                <a:latin typeface="+mj-lt"/>
              </a:rPr>
              <a:t> Revenue Ranking(Pareto)</a:t>
            </a:r>
            <a:endParaRPr lang="en-US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Pivot_Tables!$A$47:$A$62</c:f>
              <c:strCache>
                <c:ptCount val="15"/>
                <c:pt idx="0">
                  <c:v>Laptop Pro 15</c:v>
                </c:pt>
                <c:pt idx="1">
                  <c:v>Standing Desk</c:v>
                </c:pt>
                <c:pt idx="2">
                  <c:v>4K Monitor</c:v>
                </c:pt>
                <c:pt idx="3">
                  <c:v>Ergonomic Chair</c:v>
                </c:pt>
                <c:pt idx="4">
                  <c:v>File Cabinet</c:v>
                </c:pt>
                <c:pt idx="5">
                  <c:v>Bookshelf</c:v>
                </c:pt>
                <c:pt idx="6">
                  <c:v>Mechanical Keyboard</c:v>
                </c:pt>
                <c:pt idx="7">
                  <c:v>Office Lamp</c:v>
                </c:pt>
                <c:pt idx="8">
                  <c:v>Wireless Mouse</c:v>
                </c:pt>
                <c:pt idx="9">
                  <c:v>USB-C Hub</c:v>
                </c:pt>
                <c:pt idx="10">
                  <c:v>Desk Organizer</c:v>
                </c:pt>
                <c:pt idx="11">
                  <c:v>Stapler Heavy Duty</c:v>
                </c:pt>
                <c:pt idx="12">
                  <c:v>Notebook 5-Pack</c:v>
                </c:pt>
                <c:pt idx="13">
                  <c:v>Gel Pens Set</c:v>
                </c:pt>
                <c:pt idx="14">
                  <c:v>Printer Paper Ream</c:v>
                </c:pt>
              </c:strCache>
            </c:strRef>
          </c:cat>
          <c:val>
            <c:numRef>
              <c:f>Pivot_Tables!$B$47:$B$62</c:f>
              <c:numCache>
                <c:formatCode>"₹"\ #,##0.00</c:formatCode>
                <c:ptCount val="15"/>
                <c:pt idx="0">
                  <c:v>178440</c:v>
                </c:pt>
                <c:pt idx="1">
                  <c:v>78007.5</c:v>
                </c:pt>
                <c:pt idx="2">
                  <c:v>47512.5</c:v>
                </c:pt>
                <c:pt idx="3">
                  <c:v>37075</c:v>
                </c:pt>
                <c:pt idx="4">
                  <c:v>19338</c:v>
                </c:pt>
                <c:pt idx="5">
                  <c:v>19327.5</c:v>
                </c:pt>
                <c:pt idx="6">
                  <c:v>14544</c:v>
                </c:pt>
                <c:pt idx="7">
                  <c:v>5979.75</c:v>
                </c:pt>
                <c:pt idx="8">
                  <c:v>4580</c:v>
                </c:pt>
                <c:pt idx="9">
                  <c:v>4572</c:v>
                </c:pt>
                <c:pt idx="10">
                  <c:v>3647.5</c:v>
                </c:pt>
                <c:pt idx="11">
                  <c:v>3232</c:v>
                </c:pt>
                <c:pt idx="12">
                  <c:v>2259</c:v>
                </c:pt>
                <c:pt idx="13">
                  <c:v>1484.5</c:v>
                </c:pt>
                <c:pt idx="14">
                  <c:v>1454.8000000000002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2-4F16-9B5F-9CCC7F3B9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684559"/>
        <c:axId val="396416207"/>
      </c:barChart>
      <c:catAx>
        <c:axId val="2072684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16207"/>
        <c:crosses val="autoZero"/>
        <c:auto val="1"/>
        <c:lblAlgn val="ctr"/>
        <c:lblOffset val="100"/>
        <c:noMultiLvlLbl val="0"/>
      </c:catAx>
      <c:valAx>
        <c:axId val="396416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68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176953</xdr:rowOff>
    </xdr:from>
    <xdr:to>
      <xdr:col>4</xdr:col>
      <xdr:colOff>348074</xdr:colOff>
      <xdr:row>19</xdr:row>
      <xdr:rowOff>159926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FF1DD-717B-4A27-93C1-96777ADA1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603673</xdr:colOff>
      <xdr:row>7</xdr:row>
      <xdr:rowOff>9408</xdr:rowOff>
    </xdr:from>
    <xdr:to>
      <xdr:col>12</xdr:col>
      <xdr:colOff>404519</xdr:colOff>
      <xdr:row>20</xdr:row>
      <xdr:rowOff>9408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AE43F9-9104-46AC-9E04-F2F343414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2944</xdr:rowOff>
    </xdr:from>
    <xdr:to>
      <xdr:col>4</xdr:col>
      <xdr:colOff>348074</xdr:colOff>
      <xdr:row>33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AF5C7F-3F60-462B-A204-E5DC198CA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609434</xdr:colOff>
      <xdr:row>22</xdr:row>
      <xdr:rowOff>9408</xdr:rowOff>
    </xdr:from>
    <xdr:to>
      <xdr:col>16</xdr:col>
      <xdr:colOff>294409</xdr:colOff>
      <xdr:row>33</xdr:row>
      <xdr:rowOff>169334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C957BA-23E1-4DBF-A86B-059EAB097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603543</xdr:colOff>
      <xdr:row>8</xdr:row>
      <xdr:rowOff>180811</xdr:rowOff>
    </xdr:from>
    <xdr:to>
      <xdr:col>8</xdr:col>
      <xdr:colOff>302651</xdr:colOff>
      <xdr:row>26</xdr:row>
      <xdr:rowOff>180812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B988E1-F563-4560-9A55-BE13C9924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302846</xdr:colOff>
      <xdr:row>8</xdr:row>
      <xdr:rowOff>164751</xdr:rowOff>
    </xdr:from>
    <xdr:to>
      <xdr:col>17</xdr:col>
      <xdr:colOff>1954</xdr:colOff>
      <xdr:row>26</xdr:row>
      <xdr:rowOff>167898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405D10-D706-4C9A-9A4D-890680AEA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35598</xdr:colOff>
      <xdr:row>28</xdr:row>
      <xdr:rowOff>177667</xdr:rowOff>
    </xdr:from>
    <xdr:to>
      <xdr:col>17</xdr:col>
      <xdr:colOff>12913</xdr:colOff>
      <xdr:row>46</xdr:row>
      <xdr:rowOff>12914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9E99B7-AAEC-49AB-A2E3-98CEA89D1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7.776059606484" createdVersion="8" refreshedVersion="8" minRefreshableVersion="3" recordCount="500" xr:uid="{83E1A67B-DEC0-4BA8-ABD9-0CB609B32055}">
  <cacheSource type="worksheet">
    <worksheetSource ref="A1:M501" sheet="Cleaned_Data"/>
  </cacheSource>
  <cacheFields count="13">
    <cacheField name="Order ID" numFmtId="0">
      <sharedItems/>
    </cacheField>
    <cacheField name="Order Date" numFmtId="14">
      <sharedItems/>
    </cacheField>
    <cacheField name="Category" numFmtId="0">
      <sharedItems count="3">
        <s v="Furniture"/>
        <s v="Technology"/>
        <s v="Office Supplies"/>
      </sharedItems>
    </cacheField>
    <cacheField name="Product Name" numFmtId="0">
      <sharedItems count="15">
        <s v="File Cabinet"/>
        <s v="USB-C Hub"/>
        <s v="Gel Pens Set"/>
        <s v="Mechanical Keyboard"/>
        <s v="Desk Organizer"/>
        <s v="Notebook 5-Pack"/>
        <s v="Bookshelf"/>
        <s v="Standing Desk"/>
        <s v="Stapler Heavy Duty"/>
        <s v="Ergonomic Chair"/>
        <s v="Printer Paper Ream"/>
        <s v="Wireless Mouse"/>
        <s v="Office Lamp"/>
        <s v="Laptop Pro 15"/>
        <s v="4K Monitor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164">
      <sharedItems containsSemiMixedTypes="0" containsString="0" containsNumber="1" containsInteger="1" minValue="8" maxValue="1200"/>
    </cacheField>
    <cacheField name="Discount" numFmtId="10">
      <sharedItems containsSemiMixedTypes="0" containsString="0" containsNumber="1" minValue="0" maxValue="0.2" count="5">
        <n v="0.05"/>
        <n v="0"/>
        <n v="0.15"/>
        <n v="0.1"/>
        <n v="0.2"/>
      </sharedItems>
    </cacheField>
    <cacheField name="Sales" numFmtId="164">
      <sharedItems containsSemiMixedTypes="0" containsString="0" containsNumber="1" minValue="7.2" maxValue="9720"/>
    </cacheField>
    <cacheField name="Profit" numFmtId="164">
      <sharedItems containsSemiMixedTypes="0" containsString="0" containsNumber="1" minValue="4.2" maxValue="7020"/>
    </cacheField>
    <cacheField name="Region" numFmtId="0">
      <sharedItems count="5">
        <s v="North"/>
        <s v="East"/>
        <s v="West"/>
        <s v="South"/>
        <s v="Unknown"/>
      </sharedItems>
    </cacheField>
    <cacheField name="Customer Segment" numFmtId="0">
      <sharedItems count="4">
        <s v="Corporate"/>
        <s v="Consumer"/>
        <s v="Home Office"/>
        <s v="Unknown"/>
      </sharedItems>
    </cacheField>
    <cacheField name="Year-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Profit Margin %" numFmtId="10">
      <sharedItems containsSemiMixedTypes="0" containsString="0" containsNumber="1" minValue="0.5" maxValue="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ORD-2025-1001"/>
    <s v="2025-01-01"/>
    <x v="0"/>
    <x v="0"/>
    <n v="8"/>
    <n v="110"/>
    <x v="0"/>
    <n v="836"/>
    <n v="596"/>
    <x v="0"/>
    <x v="0"/>
    <x v="0"/>
    <n v="0.71291866028708128"/>
  </r>
  <r>
    <s v="ORD-2025-1002"/>
    <s v="2025-01-01"/>
    <x v="1"/>
    <x v="1"/>
    <n v="4"/>
    <n v="40"/>
    <x v="1"/>
    <n v="160"/>
    <n v="100"/>
    <x v="1"/>
    <x v="0"/>
    <x v="0"/>
    <n v="0.625"/>
  </r>
  <r>
    <s v="ORD-2025-1003"/>
    <s v="2025-01-02"/>
    <x v="2"/>
    <x v="2"/>
    <n v="5"/>
    <n v="10"/>
    <x v="0"/>
    <n v="47.5"/>
    <n v="27.5"/>
    <x v="1"/>
    <x v="0"/>
    <x v="0"/>
    <n v="0.57894736842105265"/>
  </r>
  <r>
    <s v="ORD-2025-1004"/>
    <s v="2025-01-03"/>
    <x v="1"/>
    <x v="3"/>
    <n v="3"/>
    <n v="80"/>
    <x v="1"/>
    <n v="240"/>
    <n v="150"/>
    <x v="2"/>
    <x v="1"/>
    <x v="0"/>
    <n v="0.625"/>
  </r>
  <r>
    <s v="ORD-2025-1005"/>
    <s v="2025-01-03"/>
    <x v="2"/>
    <x v="4"/>
    <n v="9"/>
    <n v="25"/>
    <x v="1"/>
    <n v="225"/>
    <n v="153"/>
    <x v="2"/>
    <x v="2"/>
    <x v="0"/>
    <n v="0.68"/>
  </r>
  <r>
    <s v="ORD-2025-1006"/>
    <s v="2025-01-04"/>
    <x v="2"/>
    <x v="5"/>
    <n v="5"/>
    <n v="15"/>
    <x v="1"/>
    <n v="75"/>
    <n v="50"/>
    <x v="0"/>
    <x v="1"/>
    <x v="0"/>
    <n v="0.66666666666666663"/>
  </r>
  <r>
    <s v="ORD-2025-1007"/>
    <s v="2025-01-05"/>
    <x v="0"/>
    <x v="6"/>
    <n v="1"/>
    <n v="150"/>
    <x v="1"/>
    <n v="150"/>
    <n v="110"/>
    <x v="1"/>
    <x v="0"/>
    <x v="0"/>
    <n v="0.73333333333333328"/>
  </r>
  <r>
    <s v="ORD-2025-1008"/>
    <s v="2025-01-06"/>
    <x v="0"/>
    <x v="7"/>
    <n v="4"/>
    <n v="450"/>
    <x v="1"/>
    <n v="1800"/>
    <n v="1320"/>
    <x v="2"/>
    <x v="1"/>
    <x v="0"/>
    <n v="0.73333333333333328"/>
  </r>
  <r>
    <s v="ORD-2025-1009"/>
    <s v="2025-01-06"/>
    <x v="2"/>
    <x v="8"/>
    <n v="8"/>
    <n v="20"/>
    <x v="0"/>
    <n v="152"/>
    <n v="96"/>
    <x v="3"/>
    <x v="2"/>
    <x v="0"/>
    <n v="0.63157894736842102"/>
  </r>
  <r>
    <s v="ORD-2025-1010"/>
    <s v="2025-01-07"/>
    <x v="2"/>
    <x v="4"/>
    <n v="2"/>
    <n v="25"/>
    <x v="0"/>
    <n v="47.5"/>
    <n v="31.5"/>
    <x v="1"/>
    <x v="2"/>
    <x v="0"/>
    <n v="0.66315789473684206"/>
  </r>
  <r>
    <s v="ORD-2025-1011"/>
    <s v="2025-01-08"/>
    <x v="0"/>
    <x v="0"/>
    <n v="9"/>
    <n v="110"/>
    <x v="1"/>
    <n v="990"/>
    <n v="720"/>
    <x v="0"/>
    <x v="0"/>
    <x v="0"/>
    <n v="0.72727272727272729"/>
  </r>
  <r>
    <s v="ORD-2025-1012"/>
    <s v="2025-01-09"/>
    <x v="0"/>
    <x v="9"/>
    <n v="8"/>
    <n v="250"/>
    <x v="1"/>
    <n v="2000"/>
    <n v="1440"/>
    <x v="2"/>
    <x v="1"/>
    <x v="0"/>
    <n v="0.72"/>
  </r>
  <r>
    <s v="ORD-2025-1013"/>
    <s v="2025-01-09"/>
    <x v="2"/>
    <x v="5"/>
    <n v="5"/>
    <n v="15"/>
    <x v="2"/>
    <n v="63.75"/>
    <n v="38.75"/>
    <x v="1"/>
    <x v="3"/>
    <x v="0"/>
    <n v="0.60784313725490191"/>
  </r>
  <r>
    <s v="ORD-2025-1014"/>
    <s v="2025-01-10"/>
    <x v="2"/>
    <x v="8"/>
    <n v="2"/>
    <n v="20"/>
    <x v="1"/>
    <n v="40"/>
    <n v="26"/>
    <x v="3"/>
    <x v="1"/>
    <x v="0"/>
    <n v="0.65"/>
  </r>
  <r>
    <s v="ORD-2025-1015"/>
    <s v="2025-01-11"/>
    <x v="2"/>
    <x v="8"/>
    <n v="8"/>
    <n v="20"/>
    <x v="1"/>
    <n v="160"/>
    <n v="104"/>
    <x v="1"/>
    <x v="0"/>
    <x v="0"/>
    <n v="0.65"/>
  </r>
  <r>
    <s v="ORD-2025-1016"/>
    <s v="2025-01-11"/>
    <x v="2"/>
    <x v="10"/>
    <n v="1"/>
    <n v="8"/>
    <x v="3"/>
    <n v="7.2"/>
    <n v="4.2"/>
    <x v="0"/>
    <x v="0"/>
    <x v="0"/>
    <n v="0.58333333333333337"/>
  </r>
  <r>
    <s v="ORD-2025-1017"/>
    <s v="2025-01-12"/>
    <x v="1"/>
    <x v="11"/>
    <n v="3"/>
    <n v="25"/>
    <x v="1"/>
    <n v="75"/>
    <n v="45"/>
    <x v="1"/>
    <x v="0"/>
    <x v="0"/>
    <n v="0.6"/>
  </r>
  <r>
    <s v="ORD-2025-1018"/>
    <s v="2025-01-13"/>
    <x v="0"/>
    <x v="0"/>
    <n v="7"/>
    <n v="110"/>
    <x v="0"/>
    <n v="731.5"/>
    <n v="521.5"/>
    <x v="3"/>
    <x v="0"/>
    <x v="0"/>
    <n v="0.71291866028708128"/>
  </r>
  <r>
    <s v="ORD-2025-1019"/>
    <s v="2025-01-14"/>
    <x v="2"/>
    <x v="10"/>
    <n v="3"/>
    <n v="8"/>
    <x v="1"/>
    <n v="24"/>
    <n v="15"/>
    <x v="2"/>
    <x v="2"/>
    <x v="0"/>
    <n v="0.625"/>
  </r>
  <r>
    <s v="ORD-2025-1020"/>
    <s v="2025-01-14"/>
    <x v="0"/>
    <x v="12"/>
    <n v="4"/>
    <n v="35"/>
    <x v="2"/>
    <n v="119"/>
    <n v="71"/>
    <x v="3"/>
    <x v="2"/>
    <x v="0"/>
    <n v="0.59663865546218486"/>
  </r>
  <r>
    <s v="ORD-2025-1021"/>
    <s v="2025-01-15"/>
    <x v="2"/>
    <x v="5"/>
    <n v="1"/>
    <n v="15"/>
    <x v="1"/>
    <n v="15"/>
    <n v="10"/>
    <x v="3"/>
    <x v="2"/>
    <x v="0"/>
    <n v="0.66666666666666663"/>
  </r>
  <r>
    <s v="ORD-2025-1022"/>
    <s v="2025-01-16"/>
    <x v="2"/>
    <x v="10"/>
    <n v="9"/>
    <n v="8"/>
    <x v="1"/>
    <n v="72"/>
    <n v="45"/>
    <x v="1"/>
    <x v="0"/>
    <x v="0"/>
    <n v="0.625"/>
  </r>
  <r>
    <s v="ORD-2025-1023"/>
    <s v="2025-01-17"/>
    <x v="1"/>
    <x v="3"/>
    <n v="6"/>
    <n v="80"/>
    <x v="1"/>
    <n v="480"/>
    <n v="300"/>
    <x v="1"/>
    <x v="1"/>
    <x v="0"/>
    <n v="0.625"/>
  </r>
  <r>
    <s v="ORD-2025-1024"/>
    <s v="2025-01-17"/>
    <x v="1"/>
    <x v="11"/>
    <n v="4"/>
    <n v="25"/>
    <x v="1"/>
    <n v="100"/>
    <n v="60"/>
    <x v="1"/>
    <x v="1"/>
    <x v="0"/>
    <n v="0.6"/>
  </r>
  <r>
    <s v="ORD-2025-1025"/>
    <s v="2025-01-18"/>
    <x v="1"/>
    <x v="13"/>
    <n v="1"/>
    <n v="1200"/>
    <x v="4"/>
    <n v="960"/>
    <n v="660"/>
    <x v="3"/>
    <x v="0"/>
    <x v="0"/>
    <n v="0.6875"/>
  </r>
  <r>
    <s v="ORD-2025-1026"/>
    <s v="2025-01-19"/>
    <x v="1"/>
    <x v="13"/>
    <n v="3"/>
    <n v="1200"/>
    <x v="0"/>
    <n v="3420"/>
    <n v="2520"/>
    <x v="3"/>
    <x v="1"/>
    <x v="0"/>
    <n v="0.73684210526315785"/>
  </r>
  <r>
    <s v="ORD-2025-1027"/>
    <s v="2025-01-19"/>
    <x v="0"/>
    <x v="12"/>
    <n v="7"/>
    <n v="35"/>
    <x v="3"/>
    <n v="220.5"/>
    <n v="136.5"/>
    <x v="0"/>
    <x v="1"/>
    <x v="0"/>
    <n v="0.61904761904761907"/>
  </r>
  <r>
    <s v="ORD-2025-1028"/>
    <s v="2025-01-20"/>
    <x v="0"/>
    <x v="12"/>
    <n v="2"/>
    <n v="35"/>
    <x v="0"/>
    <n v="66.5"/>
    <n v="42.5"/>
    <x v="3"/>
    <x v="0"/>
    <x v="0"/>
    <n v="0.63909774436090228"/>
  </r>
  <r>
    <s v="ORD-2025-1029"/>
    <s v="2025-01-21"/>
    <x v="2"/>
    <x v="8"/>
    <n v="6"/>
    <n v="20"/>
    <x v="0"/>
    <n v="114"/>
    <n v="72"/>
    <x v="2"/>
    <x v="0"/>
    <x v="0"/>
    <n v="0.63157894736842102"/>
  </r>
  <r>
    <s v="ORD-2025-1030"/>
    <s v="2025-01-22"/>
    <x v="1"/>
    <x v="11"/>
    <n v="3"/>
    <n v="25"/>
    <x v="3"/>
    <n v="67.5"/>
    <n v="37.5"/>
    <x v="3"/>
    <x v="0"/>
    <x v="0"/>
    <n v="0.55555555555555558"/>
  </r>
  <r>
    <s v="ORD-2025-1031"/>
    <s v="2025-01-22"/>
    <x v="2"/>
    <x v="2"/>
    <n v="8"/>
    <n v="10"/>
    <x v="1"/>
    <n v="80"/>
    <n v="48"/>
    <x v="3"/>
    <x v="0"/>
    <x v="0"/>
    <n v="0.6"/>
  </r>
  <r>
    <s v="ORD-2025-1032"/>
    <s v="2025-01-23"/>
    <x v="2"/>
    <x v="2"/>
    <n v="3"/>
    <n v="10"/>
    <x v="1"/>
    <n v="30"/>
    <n v="18"/>
    <x v="0"/>
    <x v="2"/>
    <x v="0"/>
    <n v="0.6"/>
  </r>
  <r>
    <s v="ORD-2025-1033"/>
    <s v="2025-01-24"/>
    <x v="0"/>
    <x v="9"/>
    <n v="2"/>
    <n v="250"/>
    <x v="4"/>
    <n v="400"/>
    <n v="260"/>
    <x v="2"/>
    <x v="1"/>
    <x v="0"/>
    <n v="0.65"/>
  </r>
  <r>
    <s v="ORD-2025-1034"/>
    <s v="2025-01-25"/>
    <x v="2"/>
    <x v="5"/>
    <n v="9"/>
    <n v="15"/>
    <x v="1"/>
    <n v="135"/>
    <n v="90"/>
    <x v="1"/>
    <x v="2"/>
    <x v="0"/>
    <n v="0.66666666666666663"/>
  </r>
  <r>
    <s v="ORD-2025-1035"/>
    <s v="2025-01-25"/>
    <x v="2"/>
    <x v="5"/>
    <n v="8"/>
    <n v="15"/>
    <x v="2"/>
    <n v="102"/>
    <n v="62"/>
    <x v="2"/>
    <x v="1"/>
    <x v="0"/>
    <n v="0.60784313725490191"/>
  </r>
  <r>
    <s v="ORD-2025-1036"/>
    <s v="2025-01-26"/>
    <x v="2"/>
    <x v="10"/>
    <n v="9"/>
    <n v="8"/>
    <x v="0"/>
    <n v="68.400000000000006"/>
    <n v="41.4"/>
    <x v="0"/>
    <x v="0"/>
    <x v="0"/>
    <n v="0.60526315789473673"/>
  </r>
  <r>
    <s v="ORD-2025-1037"/>
    <s v="2025-01-27"/>
    <x v="0"/>
    <x v="6"/>
    <n v="9"/>
    <n v="150"/>
    <x v="1"/>
    <n v="1350"/>
    <n v="990"/>
    <x v="0"/>
    <x v="1"/>
    <x v="0"/>
    <n v="0.73333333333333328"/>
  </r>
  <r>
    <s v="ORD-2025-1038"/>
    <s v="2025-01-27"/>
    <x v="1"/>
    <x v="3"/>
    <n v="1"/>
    <n v="80"/>
    <x v="1"/>
    <n v="80"/>
    <n v="50"/>
    <x v="3"/>
    <x v="1"/>
    <x v="0"/>
    <n v="0.625"/>
  </r>
  <r>
    <s v="ORD-2025-1039"/>
    <s v="2025-01-28"/>
    <x v="0"/>
    <x v="0"/>
    <n v="3"/>
    <n v="110"/>
    <x v="2"/>
    <n v="280.5"/>
    <n v="190.5"/>
    <x v="1"/>
    <x v="1"/>
    <x v="0"/>
    <n v="0.67914438502673802"/>
  </r>
  <r>
    <s v="ORD-2025-1040"/>
    <s v="2025-01-29"/>
    <x v="0"/>
    <x v="12"/>
    <n v="1"/>
    <n v="35"/>
    <x v="1"/>
    <n v="35"/>
    <n v="23"/>
    <x v="1"/>
    <x v="0"/>
    <x v="0"/>
    <n v="0.65714285714285714"/>
  </r>
  <r>
    <s v="ORD-2025-1041"/>
    <s v="2025-01-30"/>
    <x v="1"/>
    <x v="13"/>
    <n v="1"/>
    <n v="1200"/>
    <x v="4"/>
    <n v="960"/>
    <n v="660"/>
    <x v="3"/>
    <x v="0"/>
    <x v="0"/>
    <n v="0.6875"/>
  </r>
  <r>
    <s v="ORD-2025-1042"/>
    <s v="2025-01-30"/>
    <x v="2"/>
    <x v="8"/>
    <n v="9"/>
    <n v="20"/>
    <x v="4"/>
    <n v="144"/>
    <n v="81"/>
    <x v="3"/>
    <x v="1"/>
    <x v="0"/>
    <n v="0.5625"/>
  </r>
  <r>
    <s v="ORD-2025-1043"/>
    <s v="2025-01-31"/>
    <x v="0"/>
    <x v="12"/>
    <n v="1"/>
    <n v="35"/>
    <x v="1"/>
    <n v="35"/>
    <n v="23"/>
    <x v="3"/>
    <x v="0"/>
    <x v="0"/>
    <n v="0.65714285714285714"/>
  </r>
  <r>
    <s v="ORD-2025-1044"/>
    <s v="2025-02-01"/>
    <x v="1"/>
    <x v="3"/>
    <n v="2"/>
    <n v="80"/>
    <x v="0"/>
    <n v="152"/>
    <n v="92"/>
    <x v="2"/>
    <x v="1"/>
    <x v="1"/>
    <n v="0.60526315789473684"/>
  </r>
  <r>
    <s v="ORD-2025-1045"/>
    <s v="2025-02-02"/>
    <x v="0"/>
    <x v="7"/>
    <n v="6"/>
    <n v="450"/>
    <x v="1"/>
    <n v="2700"/>
    <n v="1980"/>
    <x v="0"/>
    <x v="0"/>
    <x v="1"/>
    <n v="0.73333333333333328"/>
  </r>
  <r>
    <s v="ORD-2025-1046"/>
    <s v="2025-02-02"/>
    <x v="1"/>
    <x v="13"/>
    <n v="9"/>
    <n v="1200"/>
    <x v="3"/>
    <n v="9720"/>
    <n v="7020"/>
    <x v="4"/>
    <x v="0"/>
    <x v="1"/>
    <n v="0.72222222222222221"/>
  </r>
  <r>
    <s v="ORD-2025-1047"/>
    <s v="2025-02-03"/>
    <x v="2"/>
    <x v="10"/>
    <n v="2"/>
    <n v="8"/>
    <x v="2"/>
    <n v="13.6"/>
    <n v="7.6"/>
    <x v="2"/>
    <x v="1"/>
    <x v="1"/>
    <n v="0.55882352941176472"/>
  </r>
  <r>
    <s v="ORD-2025-1048"/>
    <s v="2025-02-04"/>
    <x v="0"/>
    <x v="0"/>
    <n v="4"/>
    <n v="110"/>
    <x v="0"/>
    <n v="418"/>
    <n v="298"/>
    <x v="1"/>
    <x v="1"/>
    <x v="1"/>
    <n v="0.71291866028708128"/>
  </r>
  <r>
    <s v="ORD-2025-1049"/>
    <s v="2025-02-05"/>
    <x v="2"/>
    <x v="8"/>
    <n v="2"/>
    <n v="20"/>
    <x v="1"/>
    <n v="40"/>
    <n v="26"/>
    <x v="1"/>
    <x v="0"/>
    <x v="1"/>
    <n v="0.65"/>
  </r>
  <r>
    <s v="ORD-2025-1050"/>
    <s v="2025-02-05"/>
    <x v="0"/>
    <x v="0"/>
    <n v="6"/>
    <n v="110"/>
    <x v="0"/>
    <n v="627"/>
    <n v="447"/>
    <x v="0"/>
    <x v="0"/>
    <x v="1"/>
    <n v="0.71291866028708128"/>
  </r>
  <r>
    <s v="ORD-2025-1051"/>
    <s v="2025-02-06"/>
    <x v="2"/>
    <x v="10"/>
    <n v="5"/>
    <n v="8"/>
    <x v="0"/>
    <n v="38"/>
    <n v="23"/>
    <x v="1"/>
    <x v="0"/>
    <x v="1"/>
    <n v="0.60526315789473684"/>
  </r>
  <r>
    <s v="ORD-2025-1052"/>
    <s v="2025-02-07"/>
    <x v="0"/>
    <x v="12"/>
    <n v="6"/>
    <n v="35"/>
    <x v="1"/>
    <n v="210"/>
    <n v="138"/>
    <x v="3"/>
    <x v="1"/>
    <x v="1"/>
    <n v="0.65714285714285714"/>
  </r>
  <r>
    <s v="ORD-2025-1053"/>
    <s v="2025-02-07"/>
    <x v="0"/>
    <x v="12"/>
    <n v="2"/>
    <n v="35"/>
    <x v="0"/>
    <n v="66.5"/>
    <n v="42.5"/>
    <x v="3"/>
    <x v="1"/>
    <x v="1"/>
    <n v="0.63909774436090228"/>
  </r>
  <r>
    <s v="ORD-2025-1054"/>
    <s v="2025-02-08"/>
    <x v="1"/>
    <x v="14"/>
    <n v="7"/>
    <n v="350"/>
    <x v="1"/>
    <n v="2450"/>
    <n v="1820"/>
    <x v="0"/>
    <x v="0"/>
    <x v="1"/>
    <n v="0.74285714285714288"/>
  </r>
  <r>
    <s v="ORD-2025-1055"/>
    <s v="2025-02-09"/>
    <x v="0"/>
    <x v="12"/>
    <n v="5"/>
    <n v="35"/>
    <x v="1"/>
    <n v="175"/>
    <n v="115"/>
    <x v="2"/>
    <x v="1"/>
    <x v="1"/>
    <n v="0.65714285714285714"/>
  </r>
  <r>
    <s v="ORD-2025-1056"/>
    <s v="2025-02-10"/>
    <x v="1"/>
    <x v="13"/>
    <n v="8"/>
    <n v="1200"/>
    <x v="2"/>
    <n v="8160"/>
    <n v="5760"/>
    <x v="1"/>
    <x v="1"/>
    <x v="1"/>
    <n v="0.70588235294117652"/>
  </r>
  <r>
    <s v="ORD-2025-1057"/>
    <s v="2025-02-10"/>
    <x v="2"/>
    <x v="4"/>
    <n v="6"/>
    <n v="25"/>
    <x v="3"/>
    <n v="135"/>
    <n v="87"/>
    <x v="0"/>
    <x v="1"/>
    <x v="1"/>
    <n v="0.64444444444444449"/>
  </r>
  <r>
    <s v="ORD-2025-1058"/>
    <s v="2025-02-11"/>
    <x v="1"/>
    <x v="13"/>
    <n v="5"/>
    <n v="1200"/>
    <x v="1"/>
    <n v="6000"/>
    <n v="4500"/>
    <x v="3"/>
    <x v="2"/>
    <x v="1"/>
    <n v="0.75"/>
  </r>
  <r>
    <s v="ORD-2025-1059"/>
    <s v="2025-02-12"/>
    <x v="1"/>
    <x v="11"/>
    <n v="5"/>
    <n v="25"/>
    <x v="1"/>
    <n v="125"/>
    <n v="75"/>
    <x v="0"/>
    <x v="1"/>
    <x v="1"/>
    <n v="0.6"/>
  </r>
  <r>
    <s v="ORD-2025-1060"/>
    <s v="2025-02-13"/>
    <x v="0"/>
    <x v="7"/>
    <n v="6"/>
    <n v="450"/>
    <x v="0"/>
    <n v="2565"/>
    <n v="1845"/>
    <x v="0"/>
    <x v="0"/>
    <x v="1"/>
    <n v="0.7192982456140351"/>
  </r>
  <r>
    <s v="ORD-2025-1061"/>
    <s v="2025-02-13"/>
    <x v="0"/>
    <x v="7"/>
    <n v="1"/>
    <n v="450"/>
    <x v="0"/>
    <n v="427.5"/>
    <n v="307.5"/>
    <x v="1"/>
    <x v="1"/>
    <x v="1"/>
    <n v="0.7192982456140351"/>
  </r>
  <r>
    <s v="ORD-2025-1062"/>
    <s v="2025-02-14"/>
    <x v="2"/>
    <x v="2"/>
    <n v="1"/>
    <n v="10"/>
    <x v="2"/>
    <n v="8.5"/>
    <n v="4.5"/>
    <x v="1"/>
    <x v="2"/>
    <x v="1"/>
    <n v="0.52941176470588236"/>
  </r>
  <r>
    <s v="ORD-2025-1063"/>
    <s v="2025-02-15"/>
    <x v="2"/>
    <x v="10"/>
    <n v="1"/>
    <n v="8"/>
    <x v="1"/>
    <n v="8"/>
    <n v="5"/>
    <x v="3"/>
    <x v="2"/>
    <x v="1"/>
    <n v="0.625"/>
  </r>
  <r>
    <s v="ORD-2025-1064"/>
    <s v="2025-02-15"/>
    <x v="0"/>
    <x v="9"/>
    <n v="8"/>
    <n v="250"/>
    <x v="2"/>
    <n v="1700"/>
    <n v="1140"/>
    <x v="0"/>
    <x v="0"/>
    <x v="1"/>
    <n v="0.6705882352941176"/>
  </r>
  <r>
    <s v="ORD-2025-1065"/>
    <s v="2025-02-16"/>
    <x v="1"/>
    <x v="11"/>
    <n v="3"/>
    <n v="25"/>
    <x v="0"/>
    <n v="71.25"/>
    <n v="41.25"/>
    <x v="3"/>
    <x v="1"/>
    <x v="1"/>
    <n v="0.57894736842105265"/>
  </r>
  <r>
    <s v="ORD-2025-1066"/>
    <s v="2025-02-17"/>
    <x v="0"/>
    <x v="7"/>
    <n v="2"/>
    <n v="450"/>
    <x v="1"/>
    <n v="900"/>
    <n v="660"/>
    <x v="3"/>
    <x v="1"/>
    <x v="1"/>
    <n v="0.73333333333333328"/>
  </r>
  <r>
    <s v="ORD-2025-1067"/>
    <s v="2025-02-18"/>
    <x v="1"/>
    <x v="3"/>
    <n v="8"/>
    <n v="80"/>
    <x v="3"/>
    <n v="576"/>
    <n v="336"/>
    <x v="2"/>
    <x v="0"/>
    <x v="1"/>
    <n v="0.58333333333333337"/>
  </r>
  <r>
    <s v="ORD-2025-1068"/>
    <s v="2025-02-18"/>
    <x v="1"/>
    <x v="13"/>
    <n v="8"/>
    <n v="1200"/>
    <x v="3"/>
    <n v="8640"/>
    <n v="6240"/>
    <x v="2"/>
    <x v="1"/>
    <x v="1"/>
    <n v="0.72222222222222221"/>
  </r>
  <r>
    <s v="ORD-2025-1069"/>
    <s v="2025-02-19"/>
    <x v="0"/>
    <x v="0"/>
    <n v="1"/>
    <n v="110"/>
    <x v="0"/>
    <n v="104.5"/>
    <n v="74.5"/>
    <x v="1"/>
    <x v="0"/>
    <x v="1"/>
    <n v="0.71291866028708128"/>
  </r>
  <r>
    <s v="ORD-2025-1070"/>
    <s v="2025-02-20"/>
    <x v="0"/>
    <x v="9"/>
    <n v="4"/>
    <n v="250"/>
    <x v="3"/>
    <n v="900"/>
    <n v="620"/>
    <x v="3"/>
    <x v="2"/>
    <x v="1"/>
    <n v="0.68888888888888888"/>
  </r>
  <r>
    <s v="ORD-2025-1071"/>
    <s v="2025-02-21"/>
    <x v="0"/>
    <x v="12"/>
    <n v="9"/>
    <n v="35"/>
    <x v="3"/>
    <n v="283.5"/>
    <n v="175.5"/>
    <x v="3"/>
    <x v="2"/>
    <x v="1"/>
    <n v="0.61904761904761907"/>
  </r>
  <r>
    <s v="ORD-2025-1072"/>
    <s v="2025-02-21"/>
    <x v="2"/>
    <x v="8"/>
    <n v="3"/>
    <n v="20"/>
    <x v="1"/>
    <n v="60"/>
    <n v="39"/>
    <x v="0"/>
    <x v="0"/>
    <x v="1"/>
    <n v="0.65"/>
  </r>
  <r>
    <s v="ORD-2025-1073"/>
    <s v="2025-02-22"/>
    <x v="0"/>
    <x v="12"/>
    <n v="5"/>
    <n v="35"/>
    <x v="3"/>
    <n v="157.5"/>
    <n v="97.5"/>
    <x v="1"/>
    <x v="1"/>
    <x v="1"/>
    <n v="0.61904761904761907"/>
  </r>
  <r>
    <s v="ORD-2025-1074"/>
    <s v="2025-02-23"/>
    <x v="1"/>
    <x v="11"/>
    <n v="7"/>
    <n v="25"/>
    <x v="4"/>
    <n v="140"/>
    <n v="70"/>
    <x v="0"/>
    <x v="1"/>
    <x v="1"/>
    <n v="0.5"/>
  </r>
  <r>
    <s v="ORD-2025-1075"/>
    <s v="2025-02-23"/>
    <x v="0"/>
    <x v="6"/>
    <n v="2"/>
    <n v="150"/>
    <x v="4"/>
    <n v="240"/>
    <n v="160"/>
    <x v="1"/>
    <x v="2"/>
    <x v="1"/>
    <n v="0.66666666666666663"/>
  </r>
  <r>
    <s v="ORD-2025-1076"/>
    <s v="2025-02-24"/>
    <x v="2"/>
    <x v="4"/>
    <n v="8"/>
    <n v="25"/>
    <x v="1"/>
    <n v="200"/>
    <n v="136"/>
    <x v="2"/>
    <x v="1"/>
    <x v="1"/>
    <n v="0.68"/>
  </r>
  <r>
    <s v="ORD-2025-1077"/>
    <s v="2025-02-25"/>
    <x v="1"/>
    <x v="1"/>
    <n v="6"/>
    <n v="40"/>
    <x v="4"/>
    <n v="192"/>
    <n v="102"/>
    <x v="3"/>
    <x v="0"/>
    <x v="1"/>
    <n v="0.53125"/>
  </r>
  <r>
    <s v="ORD-2025-1078"/>
    <s v="2025-02-26"/>
    <x v="2"/>
    <x v="5"/>
    <n v="4"/>
    <n v="15"/>
    <x v="1"/>
    <n v="60"/>
    <n v="40"/>
    <x v="1"/>
    <x v="1"/>
    <x v="1"/>
    <n v="0.66666666666666663"/>
  </r>
  <r>
    <s v="ORD-2025-1079"/>
    <s v="2025-02-26"/>
    <x v="0"/>
    <x v="6"/>
    <n v="3"/>
    <n v="150"/>
    <x v="1"/>
    <n v="450"/>
    <n v="330"/>
    <x v="3"/>
    <x v="0"/>
    <x v="1"/>
    <n v="0.73333333333333328"/>
  </r>
  <r>
    <s v="ORD-2025-1080"/>
    <s v="2025-02-27"/>
    <x v="0"/>
    <x v="7"/>
    <n v="4"/>
    <n v="450"/>
    <x v="1"/>
    <n v="1800"/>
    <n v="1320"/>
    <x v="0"/>
    <x v="1"/>
    <x v="1"/>
    <n v="0.73333333333333328"/>
  </r>
  <r>
    <s v="ORD-2025-1081"/>
    <s v="2025-02-28"/>
    <x v="2"/>
    <x v="4"/>
    <n v="9"/>
    <n v="25"/>
    <x v="1"/>
    <n v="225"/>
    <n v="153"/>
    <x v="0"/>
    <x v="2"/>
    <x v="1"/>
    <n v="0.68"/>
  </r>
  <r>
    <s v="ORD-2025-1082"/>
    <s v="2025-03-01"/>
    <x v="1"/>
    <x v="11"/>
    <n v="5"/>
    <n v="25"/>
    <x v="1"/>
    <n v="125"/>
    <n v="75"/>
    <x v="2"/>
    <x v="2"/>
    <x v="2"/>
    <n v="0.6"/>
  </r>
  <r>
    <s v="ORD-2025-1083"/>
    <s v="2025-03-01"/>
    <x v="1"/>
    <x v="3"/>
    <n v="4"/>
    <n v="80"/>
    <x v="1"/>
    <n v="320"/>
    <n v="200"/>
    <x v="0"/>
    <x v="0"/>
    <x v="2"/>
    <n v="0.625"/>
  </r>
  <r>
    <s v="ORD-2025-1084"/>
    <s v="2025-03-02"/>
    <x v="1"/>
    <x v="13"/>
    <n v="5"/>
    <n v="1200"/>
    <x v="0"/>
    <n v="5700"/>
    <n v="4200"/>
    <x v="3"/>
    <x v="1"/>
    <x v="2"/>
    <n v="0.73684210526315785"/>
  </r>
  <r>
    <s v="ORD-2025-1085"/>
    <s v="2025-03-03"/>
    <x v="2"/>
    <x v="2"/>
    <n v="8"/>
    <n v="10"/>
    <x v="1"/>
    <n v="80"/>
    <n v="48"/>
    <x v="0"/>
    <x v="0"/>
    <x v="2"/>
    <n v="0.6"/>
  </r>
  <r>
    <s v="ORD-2025-1086"/>
    <s v="2025-03-04"/>
    <x v="1"/>
    <x v="14"/>
    <n v="8"/>
    <n v="350"/>
    <x v="1"/>
    <n v="2800"/>
    <n v="2080"/>
    <x v="1"/>
    <x v="0"/>
    <x v="2"/>
    <n v="0.74285714285714288"/>
  </r>
  <r>
    <s v="ORD-2025-1087"/>
    <s v="2025-03-04"/>
    <x v="2"/>
    <x v="10"/>
    <n v="6"/>
    <n v="8"/>
    <x v="1"/>
    <n v="48"/>
    <n v="30"/>
    <x v="0"/>
    <x v="1"/>
    <x v="2"/>
    <n v="0.625"/>
  </r>
  <r>
    <s v="ORD-2025-1088"/>
    <s v="2025-03-05"/>
    <x v="0"/>
    <x v="0"/>
    <n v="3"/>
    <n v="110"/>
    <x v="3"/>
    <n v="297"/>
    <n v="207"/>
    <x v="2"/>
    <x v="1"/>
    <x v="2"/>
    <n v="0.69696969696969702"/>
  </r>
  <r>
    <s v="ORD-2025-1089"/>
    <s v="2025-03-06"/>
    <x v="0"/>
    <x v="7"/>
    <n v="8"/>
    <n v="450"/>
    <x v="1"/>
    <n v="3060"/>
    <n v="2100"/>
    <x v="1"/>
    <x v="0"/>
    <x v="2"/>
    <n v="0.68627450980392157"/>
  </r>
  <r>
    <s v="ORD-2025-1090"/>
    <s v="2025-03-06"/>
    <x v="0"/>
    <x v="9"/>
    <n v="2"/>
    <n v="250"/>
    <x v="4"/>
    <n v="400"/>
    <n v="260"/>
    <x v="0"/>
    <x v="1"/>
    <x v="2"/>
    <n v="0.65"/>
  </r>
  <r>
    <s v="ORD-2025-1091"/>
    <s v="2025-03-07"/>
    <x v="0"/>
    <x v="6"/>
    <n v="1"/>
    <n v="150"/>
    <x v="3"/>
    <n v="135"/>
    <n v="95"/>
    <x v="3"/>
    <x v="1"/>
    <x v="2"/>
    <n v="0.70370370370370372"/>
  </r>
  <r>
    <s v="ORD-2025-1092"/>
    <s v="2025-03-08"/>
    <x v="1"/>
    <x v="14"/>
    <n v="1"/>
    <n v="350"/>
    <x v="0"/>
    <n v="332.5"/>
    <n v="242.5"/>
    <x v="1"/>
    <x v="2"/>
    <x v="2"/>
    <n v="0.72932330827067671"/>
  </r>
  <r>
    <s v="ORD-2025-1093"/>
    <s v="2025-03-09"/>
    <x v="0"/>
    <x v="0"/>
    <n v="5"/>
    <n v="110"/>
    <x v="3"/>
    <n v="495"/>
    <n v="345"/>
    <x v="3"/>
    <x v="0"/>
    <x v="2"/>
    <n v="0.69696969696969702"/>
  </r>
  <r>
    <s v="ORD-2025-1094"/>
    <s v="2025-03-09"/>
    <x v="1"/>
    <x v="13"/>
    <n v="3"/>
    <n v="1200"/>
    <x v="1"/>
    <n v="3600"/>
    <n v="2700"/>
    <x v="0"/>
    <x v="2"/>
    <x v="2"/>
    <n v="0.75"/>
  </r>
  <r>
    <s v="ORD-2025-1095"/>
    <s v="2025-03-10"/>
    <x v="2"/>
    <x v="2"/>
    <n v="8"/>
    <n v="10"/>
    <x v="1"/>
    <n v="80"/>
    <n v="48"/>
    <x v="3"/>
    <x v="1"/>
    <x v="2"/>
    <n v="0.6"/>
  </r>
  <r>
    <s v="ORD-2025-1096"/>
    <s v="2025-03-11"/>
    <x v="2"/>
    <x v="2"/>
    <n v="1"/>
    <n v="10"/>
    <x v="0"/>
    <n v="9.5"/>
    <n v="5.5"/>
    <x v="1"/>
    <x v="2"/>
    <x v="2"/>
    <n v="0.57894736842105265"/>
  </r>
  <r>
    <s v="ORD-2025-1097"/>
    <s v="2025-03-12"/>
    <x v="0"/>
    <x v="0"/>
    <n v="5"/>
    <n v="110"/>
    <x v="0"/>
    <n v="522.5"/>
    <n v="372.5"/>
    <x v="2"/>
    <x v="2"/>
    <x v="2"/>
    <n v="0.71291866028708128"/>
  </r>
  <r>
    <s v="ORD-2025-1098"/>
    <s v="2025-03-12"/>
    <x v="0"/>
    <x v="7"/>
    <n v="6"/>
    <n v="450"/>
    <x v="0"/>
    <n v="2565"/>
    <n v="1845"/>
    <x v="1"/>
    <x v="1"/>
    <x v="2"/>
    <n v="0.7192982456140351"/>
  </r>
  <r>
    <s v="ORD-2025-1099"/>
    <s v="2025-03-13"/>
    <x v="1"/>
    <x v="11"/>
    <n v="4"/>
    <n v="25"/>
    <x v="0"/>
    <n v="95"/>
    <n v="55"/>
    <x v="3"/>
    <x v="2"/>
    <x v="2"/>
    <n v="0.57894736842105265"/>
  </r>
  <r>
    <s v="ORD-2025-1100"/>
    <s v="2025-03-14"/>
    <x v="1"/>
    <x v="11"/>
    <n v="3"/>
    <n v="25"/>
    <x v="0"/>
    <n v="71.25"/>
    <n v="41.25"/>
    <x v="1"/>
    <x v="1"/>
    <x v="2"/>
    <n v="0.57894736842105265"/>
  </r>
  <r>
    <s v="ORD-2025-1101"/>
    <s v="2025-03-14"/>
    <x v="2"/>
    <x v="5"/>
    <n v="4"/>
    <n v="15"/>
    <x v="1"/>
    <n v="60"/>
    <n v="40"/>
    <x v="2"/>
    <x v="1"/>
    <x v="2"/>
    <n v="0.66666666666666663"/>
  </r>
  <r>
    <s v="ORD-2025-1102"/>
    <s v="2025-03-15"/>
    <x v="1"/>
    <x v="3"/>
    <n v="3"/>
    <n v="80"/>
    <x v="0"/>
    <n v="228"/>
    <n v="138"/>
    <x v="3"/>
    <x v="1"/>
    <x v="2"/>
    <n v="0.60526315789473684"/>
  </r>
  <r>
    <s v="ORD-2025-1103"/>
    <s v="2025-03-16"/>
    <x v="0"/>
    <x v="12"/>
    <n v="8"/>
    <n v="35"/>
    <x v="0"/>
    <n v="266"/>
    <n v="170"/>
    <x v="3"/>
    <x v="2"/>
    <x v="2"/>
    <n v="0.63909774436090228"/>
  </r>
  <r>
    <s v="ORD-2025-1104"/>
    <s v="2025-03-17"/>
    <x v="0"/>
    <x v="7"/>
    <n v="3"/>
    <n v="450"/>
    <x v="1"/>
    <n v="1350"/>
    <n v="990"/>
    <x v="0"/>
    <x v="0"/>
    <x v="2"/>
    <n v="0.73333333333333328"/>
  </r>
  <r>
    <s v="ORD-2025-1105"/>
    <s v="2025-03-17"/>
    <x v="1"/>
    <x v="1"/>
    <n v="6"/>
    <n v="40"/>
    <x v="1"/>
    <n v="240"/>
    <n v="150"/>
    <x v="3"/>
    <x v="0"/>
    <x v="2"/>
    <n v="0.625"/>
  </r>
  <r>
    <s v="ORD-2025-1106"/>
    <s v="2025-03-18"/>
    <x v="0"/>
    <x v="7"/>
    <n v="9"/>
    <n v="450"/>
    <x v="1"/>
    <n v="4050"/>
    <n v="2970"/>
    <x v="3"/>
    <x v="1"/>
    <x v="2"/>
    <n v="0.73333333333333328"/>
  </r>
  <r>
    <s v="ORD-2025-1107"/>
    <s v="2025-03-19"/>
    <x v="0"/>
    <x v="6"/>
    <n v="1"/>
    <n v="150"/>
    <x v="1"/>
    <n v="150"/>
    <n v="110"/>
    <x v="2"/>
    <x v="1"/>
    <x v="2"/>
    <n v="0.73333333333333328"/>
  </r>
  <r>
    <s v="ORD-2025-1108"/>
    <s v="2025-03-20"/>
    <x v="1"/>
    <x v="11"/>
    <n v="7"/>
    <n v="25"/>
    <x v="0"/>
    <n v="166.25"/>
    <n v="96.25"/>
    <x v="1"/>
    <x v="0"/>
    <x v="2"/>
    <n v="0.57894736842105265"/>
  </r>
  <r>
    <s v="ORD-2025-1109"/>
    <s v="2025-03-20"/>
    <x v="1"/>
    <x v="3"/>
    <n v="7"/>
    <n v="80"/>
    <x v="0"/>
    <n v="532"/>
    <n v="322"/>
    <x v="2"/>
    <x v="1"/>
    <x v="2"/>
    <n v="0.60526315789473684"/>
  </r>
  <r>
    <s v="ORD-2025-1110"/>
    <s v="2025-03-21"/>
    <x v="1"/>
    <x v="11"/>
    <n v="6"/>
    <n v="25"/>
    <x v="0"/>
    <n v="142.5"/>
    <n v="82.5"/>
    <x v="0"/>
    <x v="0"/>
    <x v="2"/>
    <n v="0.57894736842105265"/>
  </r>
  <r>
    <s v="ORD-2025-1111"/>
    <s v="2025-03-22"/>
    <x v="0"/>
    <x v="7"/>
    <n v="7"/>
    <n v="450"/>
    <x v="1"/>
    <n v="3150"/>
    <n v="2310"/>
    <x v="0"/>
    <x v="0"/>
    <x v="2"/>
    <n v="0.73333333333333328"/>
  </r>
  <r>
    <s v="ORD-2025-1112"/>
    <s v="2025-03-22"/>
    <x v="1"/>
    <x v="13"/>
    <n v="4"/>
    <n v="1200"/>
    <x v="1"/>
    <n v="4800"/>
    <n v="3600"/>
    <x v="3"/>
    <x v="1"/>
    <x v="2"/>
    <n v="0.75"/>
  </r>
  <r>
    <s v="ORD-2025-1113"/>
    <s v="2025-03-23"/>
    <x v="0"/>
    <x v="12"/>
    <n v="6"/>
    <n v="35"/>
    <x v="0"/>
    <n v="199.5"/>
    <n v="127.5"/>
    <x v="1"/>
    <x v="1"/>
    <x v="2"/>
    <n v="0.63909774436090228"/>
  </r>
  <r>
    <s v="ORD-2025-1114"/>
    <s v="2025-03-24"/>
    <x v="1"/>
    <x v="13"/>
    <n v="5"/>
    <n v="1200"/>
    <x v="1"/>
    <n v="6000"/>
    <n v="4500"/>
    <x v="1"/>
    <x v="1"/>
    <x v="2"/>
    <n v="0.75"/>
  </r>
  <r>
    <s v="ORD-2025-1115"/>
    <s v="2025-03-25"/>
    <x v="0"/>
    <x v="0"/>
    <n v="6"/>
    <n v="110"/>
    <x v="0"/>
    <n v="627"/>
    <n v="447"/>
    <x v="0"/>
    <x v="0"/>
    <x v="2"/>
    <n v="0.71291866028708128"/>
  </r>
  <r>
    <s v="ORD-2025-1116"/>
    <s v="2025-03-25"/>
    <x v="1"/>
    <x v="14"/>
    <n v="8"/>
    <n v="350"/>
    <x v="2"/>
    <n v="2380"/>
    <n v="1660"/>
    <x v="0"/>
    <x v="1"/>
    <x v="2"/>
    <n v="0.69747899159663862"/>
  </r>
  <r>
    <s v="ORD-2025-1117"/>
    <s v="2025-03-26"/>
    <x v="0"/>
    <x v="12"/>
    <n v="8"/>
    <n v="35"/>
    <x v="1"/>
    <n v="280"/>
    <n v="184"/>
    <x v="3"/>
    <x v="2"/>
    <x v="2"/>
    <n v="0.65714285714285714"/>
  </r>
  <r>
    <s v="ORD-2025-1118"/>
    <s v="2025-03-27"/>
    <x v="2"/>
    <x v="5"/>
    <n v="8"/>
    <n v="15"/>
    <x v="3"/>
    <n v="108"/>
    <n v="68"/>
    <x v="2"/>
    <x v="1"/>
    <x v="2"/>
    <n v="0.62962962962962965"/>
  </r>
  <r>
    <s v="ORD-2025-1119"/>
    <s v="2025-03-28"/>
    <x v="0"/>
    <x v="7"/>
    <n v="3"/>
    <n v="450"/>
    <x v="3"/>
    <n v="1215"/>
    <n v="855"/>
    <x v="0"/>
    <x v="2"/>
    <x v="2"/>
    <n v="0.70370370370370372"/>
  </r>
  <r>
    <s v="ORD-2025-1120"/>
    <s v="2025-03-28"/>
    <x v="2"/>
    <x v="8"/>
    <n v="1"/>
    <n v="20"/>
    <x v="3"/>
    <n v="18"/>
    <n v="11"/>
    <x v="3"/>
    <x v="1"/>
    <x v="2"/>
    <n v="0.61111111111111116"/>
  </r>
  <r>
    <s v="ORD-2025-1121"/>
    <s v="2025-03-29"/>
    <x v="2"/>
    <x v="4"/>
    <n v="4"/>
    <n v="25"/>
    <x v="1"/>
    <n v="100"/>
    <n v="68"/>
    <x v="1"/>
    <x v="0"/>
    <x v="2"/>
    <n v="0.68"/>
  </r>
  <r>
    <s v="ORD-2025-1122"/>
    <s v="2025-03-30"/>
    <x v="0"/>
    <x v="0"/>
    <n v="7"/>
    <n v="110"/>
    <x v="0"/>
    <n v="731.5"/>
    <n v="521.5"/>
    <x v="0"/>
    <x v="1"/>
    <x v="2"/>
    <n v="0.71291866028708128"/>
  </r>
  <r>
    <s v="ORD-2025-1123"/>
    <s v="2025-03-30"/>
    <x v="1"/>
    <x v="1"/>
    <n v="9"/>
    <n v="40"/>
    <x v="3"/>
    <n v="324"/>
    <n v="189"/>
    <x v="1"/>
    <x v="1"/>
    <x v="2"/>
    <n v="0.58333333333333337"/>
  </r>
  <r>
    <s v="ORD-2025-1124"/>
    <s v="2025-03-31"/>
    <x v="0"/>
    <x v="9"/>
    <n v="5"/>
    <n v="250"/>
    <x v="3"/>
    <n v="1125"/>
    <n v="775"/>
    <x v="2"/>
    <x v="0"/>
    <x v="2"/>
    <n v="0.68888888888888888"/>
  </r>
  <r>
    <s v="ORD-2025-1125"/>
    <s v="2025-04-01"/>
    <x v="2"/>
    <x v="5"/>
    <n v="2"/>
    <n v="15"/>
    <x v="1"/>
    <n v="30"/>
    <n v="20"/>
    <x v="0"/>
    <x v="1"/>
    <x v="3"/>
    <n v="0.66666666666666663"/>
  </r>
  <r>
    <s v="ORD-2025-1126"/>
    <s v="2025-04-02"/>
    <x v="0"/>
    <x v="0"/>
    <n v="8"/>
    <n v="110"/>
    <x v="3"/>
    <n v="792"/>
    <n v="552"/>
    <x v="1"/>
    <x v="1"/>
    <x v="3"/>
    <n v="0.69696969696969702"/>
  </r>
  <r>
    <s v="ORD-2025-1127"/>
    <s v="2025-04-02"/>
    <x v="2"/>
    <x v="4"/>
    <n v="5"/>
    <n v="25"/>
    <x v="1"/>
    <n v="125"/>
    <n v="85"/>
    <x v="1"/>
    <x v="2"/>
    <x v="3"/>
    <n v="0.68"/>
  </r>
  <r>
    <s v="ORD-2025-1128"/>
    <s v="2025-04-03"/>
    <x v="1"/>
    <x v="11"/>
    <n v="9"/>
    <n v="25"/>
    <x v="0"/>
    <n v="213.75"/>
    <n v="123.75"/>
    <x v="3"/>
    <x v="1"/>
    <x v="3"/>
    <n v="0.57894736842105265"/>
  </r>
  <r>
    <s v="ORD-2025-1129"/>
    <s v="2025-04-04"/>
    <x v="2"/>
    <x v="4"/>
    <n v="6"/>
    <n v="25"/>
    <x v="0"/>
    <n v="142.5"/>
    <n v="94.5"/>
    <x v="3"/>
    <x v="1"/>
    <x v="3"/>
    <n v="0.66315789473684206"/>
  </r>
  <r>
    <s v="ORD-2025-1130"/>
    <s v="2025-04-05"/>
    <x v="0"/>
    <x v="7"/>
    <n v="5"/>
    <n v="450"/>
    <x v="2"/>
    <n v="1912.5"/>
    <n v="1312.5"/>
    <x v="1"/>
    <x v="0"/>
    <x v="3"/>
    <n v="0.68627450980392157"/>
  </r>
  <r>
    <s v="ORD-2025-1131"/>
    <s v="2025-04-05"/>
    <x v="2"/>
    <x v="10"/>
    <n v="8"/>
    <n v="8"/>
    <x v="0"/>
    <n v="60.8"/>
    <n v="36.799999999999997"/>
    <x v="0"/>
    <x v="2"/>
    <x v="3"/>
    <n v="0.60526315789473684"/>
  </r>
  <r>
    <s v="ORD-2025-1132"/>
    <s v="2025-04-06"/>
    <x v="0"/>
    <x v="6"/>
    <n v="4"/>
    <n v="150"/>
    <x v="4"/>
    <n v="480"/>
    <n v="320"/>
    <x v="1"/>
    <x v="1"/>
    <x v="3"/>
    <n v="0.66666666666666663"/>
  </r>
  <r>
    <s v="ORD-2025-1133"/>
    <s v="2025-04-07"/>
    <x v="2"/>
    <x v="5"/>
    <n v="4"/>
    <n v="15"/>
    <x v="0"/>
    <n v="57"/>
    <n v="37"/>
    <x v="1"/>
    <x v="2"/>
    <x v="3"/>
    <n v="0.64912280701754388"/>
  </r>
  <r>
    <s v="ORD-2025-1134"/>
    <s v="2025-04-08"/>
    <x v="1"/>
    <x v="1"/>
    <n v="4"/>
    <n v="40"/>
    <x v="1"/>
    <n v="160"/>
    <n v="100"/>
    <x v="1"/>
    <x v="1"/>
    <x v="3"/>
    <n v="0.625"/>
  </r>
  <r>
    <s v="ORD-2025-1135"/>
    <s v="2025-04-08"/>
    <x v="0"/>
    <x v="0"/>
    <n v="4"/>
    <n v="110"/>
    <x v="3"/>
    <n v="396"/>
    <n v="276"/>
    <x v="1"/>
    <x v="1"/>
    <x v="3"/>
    <n v="0.69696969696969702"/>
  </r>
  <r>
    <s v="ORD-2025-1136"/>
    <s v="2025-04-09"/>
    <x v="2"/>
    <x v="8"/>
    <n v="5"/>
    <n v="20"/>
    <x v="3"/>
    <n v="90"/>
    <n v="55"/>
    <x v="2"/>
    <x v="0"/>
    <x v="3"/>
    <n v="0.61111111111111116"/>
  </r>
  <r>
    <s v="ORD-2025-1137"/>
    <s v="2025-04-10"/>
    <x v="1"/>
    <x v="11"/>
    <n v="8"/>
    <n v="25"/>
    <x v="0"/>
    <n v="190"/>
    <n v="110"/>
    <x v="1"/>
    <x v="0"/>
    <x v="3"/>
    <n v="0.57894736842105265"/>
  </r>
  <r>
    <s v="ORD-2025-1138"/>
    <s v="2025-04-10"/>
    <x v="2"/>
    <x v="8"/>
    <n v="4"/>
    <n v="20"/>
    <x v="2"/>
    <n v="68"/>
    <n v="40"/>
    <x v="1"/>
    <x v="0"/>
    <x v="3"/>
    <n v="0.58823529411764708"/>
  </r>
  <r>
    <s v="ORD-2025-1139"/>
    <s v="2025-04-11"/>
    <x v="2"/>
    <x v="5"/>
    <n v="9"/>
    <n v="15"/>
    <x v="1"/>
    <n v="135"/>
    <n v="90"/>
    <x v="1"/>
    <x v="2"/>
    <x v="3"/>
    <n v="0.66666666666666663"/>
  </r>
  <r>
    <s v="ORD-2025-1140"/>
    <s v="2025-04-12"/>
    <x v="2"/>
    <x v="5"/>
    <n v="5"/>
    <n v="15"/>
    <x v="4"/>
    <n v="60"/>
    <n v="35"/>
    <x v="2"/>
    <x v="0"/>
    <x v="3"/>
    <n v="0.58333333333333337"/>
  </r>
  <r>
    <s v="ORD-2025-1141"/>
    <s v="2025-04-13"/>
    <x v="2"/>
    <x v="10"/>
    <n v="8"/>
    <n v="8"/>
    <x v="0"/>
    <n v="60.8"/>
    <n v="36.799999999999997"/>
    <x v="3"/>
    <x v="1"/>
    <x v="3"/>
    <n v="0.60526315789473684"/>
  </r>
  <r>
    <s v="ORD-2025-1142"/>
    <s v="2025-04-13"/>
    <x v="1"/>
    <x v="13"/>
    <n v="5"/>
    <n v="1200"/>
    <x v="0"/>
    <n v="5700"/>
    <n v="4200"/>
    <x v="0"/>
    <x v="1"/>
    <x v="3"/>
    <n v="0.73684210526315785"/>
  </r>
  <r>
    <s v="ORD-2025-1143"/>
    <s v="2025-04-14"/>
    <x v="2"/>
    <x v="2"/>
    <n v="7"/>
    <n v="10"/>
    <x v="1"/>
    <n v="70"/>
    <n v="42"/>
    <x v="1"/>
    <x v="1"/>
    <x v="3"/>
    <n v="0.6"/>
  </r>
  <r>
    <s v="ORD-2025-1144"/>
    <s v="2025-04-15"/>
    <x v="1"/>
    <x v="14"/>
    <n v="3"/>
    <n v="350"/>
    <x v="1"/>
    <n v="1050"/>
    <n v="780"/>
    <x v="1"/>
    <x v="0"/>
    <x v="3"/>
    <n v="0.74285714285714288"/>
  </r>
  <r>
    <s v="ORD-2025-1145"/>
    <s v="2025-04-16"/>
    <x v="1"/>
    <x v="13"/>
    <n v="1"/>
    <n v="1200"/>
    <x v="3"/>
    <n v="1080"/>
    <n v="780"/>
    <x v="0"/>
    <x v="0"/>
    <x v="3"/>
    <n v="0.72222222222222221"/>
  </r>
  <r>
    <s v="ORD-2025-1146"/>
    <s v="2025-04-16"/>
    <x v="1"/>
    <x v="13"/>
    <n v="7"/>
    <n v="1200"/>
    <x v="4"/>
    <n v="6720"/>
    <n v="4620"/>
    <x v="3"/>
    <x v="1"/>
    <x v="3"/>
    <n v="0.6875"/>
  </r>
  <r>
    <s v="ORD-2025-1147"/>
    <s v="2025-04-17"/>
    <x v="2"/>
    <x v="4"/>
    <n v="8"/>
    <n v="25"/>
    <x v="0"/>
    <n v="190"/>
    <n v="126"/>
    <x v="1"/>
    <x v="0"/>
    <x v="3"/>
    <n v="0.66315789473684206"/>
  </r>
  <r>
    <s v="ORD-2025-1148"/>
    <s v="2025-04-18"/>
    <x v="2"/>
    <x v="10"/>
    <n v="8"/>
    <n v="8"/>
    <x v="2"/>
    <n v="54.4"/>
    <n v="30.4"/>
    <x v="0"/>
    <x v="0"/>
    <x v="3"/>
    <n v="0.55882352941176472"/>
  </r>
  <r>
    <s v="ORD-2025-1149"/>
    <s v="2025-04-18"/>
    <x v="1"/>
    <x v="3"/>
    <n v="2"/>
    <n v="80"/>
    <x v="1"/>
    <n v="160"/>
    <n v="100"/>
    <x v="1"/>
    <x v="1"/>
    <x v="3"/>
    <n v="0.625"/>
  </r>
  <r>
    <s v="ORD-2025-1150"/>
    <s v="2025-04-19"/>
    <x v="0"/>
    <x v="9"/>
    <n v="2"/>
    <n v="250"/>
    <x v="1"/>
    <n v="500"/>
    <n v="360"/>
    <x v="1"/>
    <x v="0"/>
    <x v="3"/>
    <n v="0.72"/>
  </r>
  <r>
    <s v="ORD-2025-1151"/>
    <s v="2025-04-20"/>
    <x v="1"/>
    <x v="3"/>
    <n v="3"/>
    <n v="80"/>
    <x v="0"/>
    <n v="228"/>
    <n v="138"/>
    <x v="3"/>
    <x v="0"/>
    <x v="3"/>
    <n v="0.60526315789473684"/>
  </r>
  <r>
    <s v="ORD-2025-1152"/>
    <s v="2025-04-21"/>
    <x v="1"/>
    <x v="11"/>
    <n v="7"/>
    <n v="25"/>
    <x v="0"/>
    <n v="166.25"/>
    <n v="96.25"/>
    <x v="0"/>
    <x v="0"/>
    <x v="3"/>
    <n v="0.57894736842105265"/>
  </r>
  <r>
    <s v="ORD-2025-1153"/>
    <s v="2025-04-21"/>
    <x v="1"/>
    <x v="3"/>
    <n v="8"/>
    <n v="80"/>
    <x v="1"/>
    <n v="640"/>
    <n v="400"/>
    <x v="1"/>
    <x v="0"/>
    <x v="3"/>
    <n v="0.625"/>
  </r>
  <r>
    <s v="ORD-2025-1154"/>
    <s v="2025-04-22"/>
    <x v="2"/>
    <x v="2"/>
    <n v="3"/>
    <n v="10"/>
    <x v="1"/>
    <n v="30"/>
    <n v="18"/>
    <x v="1"/>
    <x v="2"/>
    <x v="3"/>
    <n v="0.6"/>
  </r>
  <r>
    <s v="ORD-2025-1155"/>
    <s v="2025-04-23"/>
    <x v="2"/>
    <x v="8"/>
    <n v="4"/>
    <n v="20"/>
    <x v="0"/>
    <n v="76"/>
    <n v="48"/>
    <x v="0"/>
    <x v="0"/>
    <x v="3"/>
    <n v="0.63157894736842102"/>
  </r>
  <r>
    <s v="ORD-2025-1156"/>
    <s v="2025-04-24"/>
    <x v="2"/>
    <x v="2"/>
    <n v="7"/>
    <n v="10"/>
    <x v="3"/>
    <n v="63"/>
    <n v="35"/>
    <x v="2"/>
    <x v="0"/>
    <x v="3"/>
    <n v="0.55555555555555558"/>
  </r>
  <r>
    <s v="ORD-2025-1157"/>
    <s v="2025-04-24"/>
    <x v="2"/>
    <x v="4"/>
    <n v="2"/>
    <n v="25"/>
    <x v="2"/>
    <n v="42.5"/>
    <n v="26.5"/>
    <x v="2"/>
    <x v="0"/>
    <x v="3"/>
    <n v="0.62352941176470589"/>
  </r>
  <r>
    <s v="ORD-2025-1158"/>
    <s v="2025-04-25"/>
    <x v="1"/>
    <x v="11"/>
    <n v="3"/>
    <n v="25"/>
    <x v="0"/>
    <n v="71.25"/>
    <n v="41.25"/>
    <x v="0"/>
    <x v="1"/>
    <x v="3"/>
    <n v="0.57894736842105265"/>
  </r>
  <r>
    <s v="ORD-2025-1159"/>
    <s v="2025-04-26"/>
    <x v="0"/>
    <x v="9"/>
    <n v="2"/>
    <n v="250"/>
    <x v="2"/>
    <n v="425"/>
    <n v="285"/>
    <x v="0"/>
    <x v="2"/>
    <x v="3"/>
    <n v="0.6705882352941176"/>
  </r>
  <r>
    <s v="ORD-2025-1160"/>
    <s v="2025-04-26"/>
    <x v="2"/>
    <x v="5"/>
    <n v="8"/>
    <n v="15"/>
    <x v="4"/>
    <n v="96"/>
    <n v="56"/>
    <x v="3"/>
    <x v="0"/>
    <x v="3"/>
    <n v="0.58333333333333337"/>
  </r>
  <r>
    <s v="ORD-2025-1161"/>
    <s v="2025-04-27"/>
    <x v="0"/>
    <x v="9"/>
    <n v="9"/>
    <n v="250"/>
    <x v="0"/>
    <n v="2137.5"/>
    <n v="1507.5"/>
    <x v="1"/>
    <x v="0"/>
    <x v="3"/>
    <n v="0.70526315789473681"/>
  </r>
  <r>
    <s v="ORD-2025-1162"/>
    <s v="2025-04-28"/>
    <x v="1"/>
    <x v="3"/>
    <n v="4"/>
    <n v="80"/>
    <x v="1"/>
    <n v="320"/>
    <n v="200"/>
    <x v="2"/>
    <x v="1"/>
    <x v="3"/>
    <n v="0.625"/>
  </r>
  <r>
    <s v="ORD-2025-1163"/>
    <s v="2025-04-29"/>
    <x v="2"/>
    <x v="2"/>
    <n v="5"/>
    <n v="10"/>
    <x v="3"/>
    <n v="45"/>
    <n v="25"/>
    <x v="3"/>
    <x v="0"/>
    <x v="3"/>
    <n v="0.55555555555555558"/>
  </r>
  <r>
    <s v="ORD-2025-1164"/>
    <s v="2025-04-29"/>
    <x v="0"/>
    <x v="7"/>
    <n v="7"/>
    <n v="450"/>
    <x v="1"/>
    <n v="3150"/>
    <n v="2310"/>
    <x v="0"/>
    <x v="0"/>
    <x v="3"/>
    <n v="0.73333333333333328"/>
  </r>
  <r>
    <s v="ORD-2025-1165"/>
    <s v="2025-04-30"/>
    <x v="1"/>
    <x v="3"/>
    <n v="8"/>
    <n v="80"/>
    <x v="1"/>
    <n v="640"/>
    <n v="400"/>
    <x v="1"/>
    <x v="1"/>
    <x v="3"/>
    <n v="0.625"/>
  </r>
  <r>
    <s v="ORD-2025-1166"/>
    <s v="2025-05-01"/>
    <x v="0"/>
    <x v="9"/>
    <n v="5"/>
    <n v="250"/>
    <x v="1"/>
    <n v="1250"/>
    <n v="900"/>
    <x v="3"/>
    <x v="0"/>
    <x v="4"/>
    <n v="0.72"/>
  </r>
  <r>
    <s v="ORD-2025-1167"/>
    <s v="2025-05-02"/>
    <x v="1"/>
    <x v="3"/>
    <n v="1"/>
    <n v="80"/>
    <x v="1"/>
    <n v="80"/>
    <n v="50"/>
    <x v="1"/>
    <x v="0"/>
    <x v="4"/>
    <n v="0.625"/>
  </r>
  <r>
    <s v="ORD-2025-1168"/>
    <s v="2025-05-02"/>
    <x v="0"/>
    <x v="6"/>
    <n v="4"/>
    <n v="150"/>
    <x v="3"/>
    <n v="540"/>
    <n v="380"/>
    <x v="0"/>
    <x v="1"/>
    <x v="4"/>
    <n v="0.70370370370370372"/>
  </r>
  <r>
    <s v="ORD-2025-1169"/>
    <s v="2025-05-03"/>
    <x v="0"/>
    <x v="0"/>
    <n v="8"/>
    <n v="110"/>
    <x v="1"/>
    <n v="880"/>
    <n v="640"/>
    <x v="0"/>
    <x v="0"/>
    <x v="4"/>
    <n v="0.72727272727272729"/>
  </r>
  <r>
    <s v="ORD-2025-1170"/>
    <s v="2025-05-04"/>
    <x v="0"/>
    <x v="6"/>
    <n v="1"/>
    <n v="150"/>
    <x v="1"/>
    <n v="150"/>
    <n v="110"/>
    <x v="1"/>
    <x v="0"/>
    <x v="4"/>
    <n v="0.73333333333333328"/>
  </r>
  <r>
    <s v="ORD-2025-1171"/>
    <s v="2025-05-05"/>
    <x v="2"/>
    <x v="4"/>
    <n v="9"/>
    <n v="25"/>
    <x v="1"/>
    <n v="225"/>
    <n v="153"/>
    <x v="1"/>
    <x v="1"/>
    <x v="4"/>
    <n v="0.68"/>
  </r>
  <r>
    <s v="ORD-2025-1172"/>
    <s v="2025-05-05"/>
    <x v="2"/>
    <x v="2"/>
    <n v="9"/>
    <n v="10"/>
    <x v="1"/>
    <n v="90"/>
    <n v="54"/>
    <x v="2"/>
    <x v="1"/>
    <x v="4"/>
    <n v="0.6"/>
  </r>
  <r>
    <s v="ORD-2025-1173"/>
    <s v="2025-05-06"/>
    <x v="2"/>
    <x v="2"/>
    <n v="3"/>
    <n v="10"/>
    <x v="1"/>
    <n v="30"/>
    <n v="18"/>
    <x v="2"/>
    <x v="2"/>
    <x v="4"/>
    <n v="0.6"/>
  </r>
  <r>
    <s v="ORD-2025-1174"/>
    <s v="2025-05-07"/>
    <x v="2"/>
    <x v="5"/>
    <n v="7"/>
    <n v="15"/>
    <x v="0"/>
    <n v="99.75"/>
    <n v="64.75"/>
    <x v="0"/>
    <x v="2"/>
    <x v="4"/>
    <n v="0.64912280701754388"/>
  </r>
  <r>
    <s v="ORD-2025-1175"/>
    <s v="2025-05-07"/>
    <x v="2"/>
    <x v="4"/>
    <n v="1"/>
    <n v="25"/>
    <x v="0"/>
    <n v="23.75"/>
    <n v="15.75"/>
    <x v="1"/>
    <x v="2"/>
    <x v="4"/>
    <n v="0.66315789473684206"/>
  </r>
  <r>
    <s v="ORD-2025-1176"/>
    <s v="2025-05-08"/>
    <x v="1"/>
    <x v="13"/>
    <n v="9"/>
    <n v="1200"/>
    <x v="2"/>
    <n v="9180"/>
    <n v="6480"/>
    <x v="0"/>
    <x v="1"/>
    <x v="4"/>
    <n v="0.70588235294117652"/>
  </r>
  <r>
    <s v="ORD-2025-1177"/>
    <s v="2025-05-09"/>
    <x v="2"/>
    <x v="2"/>
    <n v="5"/>
    <n v="10"/>
    <x v="1"/>
    <n v="50"/>
    <n v="30"/>
    <x v="3"/>
    <x v="0"/>
    <x v="4"/>
    <n v="0.6"/>
  </r>
  <r>
    <s v="ORD-2025-1178"/>
    <s v="2025-05-10"/>
    <x v="2"/>
    <x v="10"/>
    <n v="8"/>
    <n v="8"/>
    <x v="4"/>
    <n v="51.2"/>
    <n v="27.2"/>
    <x v="2"/>
    <x v="1"/>
    <x v="4"/>
    <n v="0.53125"/>
  </r>
  <r>
    <s v="ORD-2025-1179"/>
    <s v="2025-05-10"/>
    <x v="2"/>
    <x v="10"/>
    <n v="2"/>
    <n v="8"/>
    <x v="0"/>
    <n v="15.2"/>
    <n v="9.1999999999999993"/>
    <x v="1"/>
    <x v="1"/>
    <x v="4"/>
    <n v="0.60526315789473684"/>
  </r>
  <r>
    <s v="ORD-2025-1180"/>
    <s v="2025-05-11"/>
    <x v="0"/>
    <x v="12"/>
    <n v="2"/>
    <n v="35"/>
    <x v="2"/>
    <n v="59.5"/>
    <n v="35.5"/>
    <x v="3"/>
    <x v="1"/>
    <x v="4"/>
    <n v="0.59663865546218486"/>
  </r>
  <r>
    <s v="ORD-2025-1181"/>
    <s v="2025-05-12"/>
    <x v="0"/>
    <x v="9"/>
    <n v="4"/>
    <n v="250"/>
    <x v="3"/>
    <n v="900"/>
    <n v="620"/>
    <x v="3"/>
    <x v="1"/>
    <x v="4"/>
    <n v="0.68888888888888888"/>
  </r>
  <r>
    <s v="ORD-2025-1182"/>
    <s v="2025-05-13"/>
    <x v="2"/>
    <x v="2"/>
    <n v="2"/>
    <n v="10"/>
    <x v="1"/>
    <n v="20"/>
    <n v="12"/>
    <x v="2"/>
    <x v="0"/>
    <x v="4"/>
    <n v="0.6"/>
  </r>
  <r>
    <s v="ORD-2025-1183"/>
    <s v="2025-05-13"/>
    <x v="2"/>
    <x v="4"/>
    <n v="2"/>
    <n v="25"/>
    <x v="2"/>
    <n v="42.5"/>
    <n v="26.5"/>
    <x v="1"/>
    <x v="2"/>
    <x v="4"/>
    <n v="0.62352941176470589"/>
  </r>
  <r>
    <s v="ORD-2025-1184"/>
    <s v="2025-05-14"/>
    <x v="0"/>
    <x v="9"/>
    <n v="5"/>
    <n v="250"/>
    <x v="1"/>
    <n v="1250"/>
    <n v="900"/>
    <x v="1"/>
    <x v="0"/>
    <x v="4"/>
    <n v="0.72"/>
  </r>
  <r>
    <s v="ORD-2025-1185"/>
    <s v="2025-05-15"/>
    <x v="0"/>
    <x v="9"/>
    <n v="7"/>
    <n v="250"/>
    <x v="0"/>
    <n v="1662.5"/>
    <n v="1172.5"/>
    <x v="1"/>
    <x v="0"/>
    <x v="4"/>
    <n v="0.70526315789473681"/>
  </r>
  <r>
    <s v="ORD-2025-1186"/>
    <s v="2025-05-15"/>
    <x v="0"/>
    <x v="7"/>
    <n v="4"/>
    <n v="450"/>
    <x v="3"/>
    <n v="1620"/>
    <n v="1140"/>
    <x v="1"/>
    <x v="0"/>
    <x v="4"/>
    <n v="0.70370370370370372"/>
  </r>
  <r>
    <s v="ORD-2025-1187"/>
    <s v="2025-05-16"/>
    <x v="2"/>
    <x v="5"/>
    <n v="1"/>
    <n v="15"/>
    <x v="1"/>
    <n v="15"/>
    <n v="10"/>
    <x v="0"/>
    <x v="2"/>
    <x v="4"/>
    <n v="0.66666666666666663"/>
  </r>
  <r>
    <s v="ORD-2025-1188"/>
    <s v="2025-05-17"/>
    <x v="2"/>
    <x v="4"/>
    <n v="6"/>
    <n v="25"/>
    <x v="4"/>
    <n v="120"/>
    <n v="72"/>
    <x v="2"/>
    <x v="1"/>
    <x v="4"/>
    <n v="0.6"/>
  </r>
  <r>
    <s v="ORD-2025-1189"/>
    <s v="2025-05-18"/>
    <x v="2"/>
    <x v="2"/>
    <n v="9"/>
    <n v="10"/>
    <x v="3"/>
    <n v="81"/>
    <n v="45"/>
    <x v="0"/>
    <x v="1"/>
    <x v="4"/>
    <n v="0.55555555555555558"/>
  </r>
  <r>
    <s v="ORD-2025-1190"/>
    <s v="2025-05-18"/>
    <x v="2"/>
    <x v="4"/>
    <n v="3"/>
    <n v="25"/>
    <x v="0"/>
    <n v="71.25"/>
    <n v="47.25"/>
    <x v="0"/>
    <x v="0"/>
    <x v="4"/>
    <n v="0.66315789473684206"/>
  </r>
  <r>
    <s v="ORD-2025-1191"/>
    <s v="2025-05-19"/>
    <x v="1"/>
    <x v="13"/>
    <n v="3"/>
    <n v="1200"/>
    <x v="3"/>
    <n v="3240"/>
    <n v="2340"/>
    <x v="2"/>
    <x v="1"/>
    <x v="4"/>
    <n v="0.72222222222222221"/>
  </r>
  <r>
    <s v="ORD-2025-1192"/>
    <s v="2025-05-20"/>
    <x v="1"/>
    <x v="13"/>
    <n v="3"/>
    <n v="1200"/>
    <x v="0"/>
    <n v="3420"/>
    <n v="2520"/>
    <x v="3"/>
    <x v="0"/>
    <x v="4"/>
    <n v="0.73684210526315785"/>
  </r>
  <r>
    <s v="ORD-2025-1193"/>
    <s v="2025-05-21"/>
    <x v="0"/>
    <x v="7"/>
    <n v="1"/>
    <n v="450"/>
    <x v="1"/>
    <n v="450"/>
    <n v="330"/>
    <x v="2"/>
    <x v="0"/>
    <x v="4"/>
    <n v="0.73333333333333328"/>
  </r>
  <r>
    <s v="ORD-2025-1194"/>
    <s v="2025-05-21"/>
    <x v="1"/>
    <x v="13"/>
    <n v="9"/>
    <n v="1200"/>
    <x v="2"/>
    <n v="9180"/>
    <n v="6480"/>
    <x v="2"/>
    <x v="1"/>
    <x v="4"/>
    <n v="0.70588235294117652"/>
  </r>
  <r>
    <s v="ORD-2025-1195"/>
    <s v="2025-05-22"/>
    <x v="0"/>
    <x v="6"/>
    <n v="9"/>
    <n v="150"/>
    <x v="1"/>
    <n v="1350"/>
    <n v="990"/>
    <x v="2"/>
    <x v="0"/>
    <x v="4"/>
    <n v="0.73333333333333328"/>
  </r>
  <r>
    <s v="ORD-2025-1196"/>
    <s v="2025-05-23"/>
    <x v="1"/>
    <x v="13"/>
    <n v="5"/>
    <n v="1200"/>
    <x v="3"/>
    <n v="5400"/>
    <n v="3900"/>
    <x v="0"/>
    <x v="0"/>
    <x v="4"/>
    <n v="0.72222222222222221"/>
  </r>
  <r>
    <s v="ORD-2025-1197"/>
    <s v="2025-05-23"/>
    <x v="1"/>
    <x v="3"/>
    <n v="5"/>
    <n v="80"/>
    <x v="1"/>
    <n v="400"/>
    <n v="250"/>
    <x v="3"/>
    <x v="2"/>
    <x v="4"/>
    <n v="0.625"/>
  </r>
  <r>
    <s v="ORD-2025-1198"/>
    <s v="2025-05-24"/>
    <x v="1"/>
    <x v="14"/>
    <n v="5"/>
    <n v="350"/>
    <x v="4"/>
    <n v="1400"/>
    <n v="950"/>
    <x v="0"/>
    <x v="2"/>
    <x v="4"/>
    <n v="0.6785714285714286"/>
  </r>
  <r>
    <s v="ORD-2025-1199"/>
    <s v="2025-05-25"/>
    <x v="0"/>
    <x v="6"/>
    <n v="3"/>
    <n v="150"/>
    <x v="1"/>
    <n v="450"/>
    <n v="330"/>
    <x v="1"/>
    <x v="1"/>
    <x v="4"/>
    <n v="0.73333333333333328"/>
  </r>
  <r>
    <s v="ORD-2025-1200"/>
    <s v="2025-05-26"/>
    <x v="1"/>
    <x v="3"/>
    <n v="8"/>
    <n v="80"/>
    <x v="1"/>
    <n v="640"/>
    <n v="400"/>
    <x v="0"/>
    <x v="0"/>
    <x v="4"/>
    <n v="0.625"/>
  </r>
  <r>
    <s v="ORD-2025-1201"/>
    <s v="2025-05-26"/>
    <x v="1"/>
    <x v="1"/>
    <n v="9"/>
    <n v="40"/>
    <x v="2"/>
    <n v="306"/>
    <n v="171"/>
    <x v="0"/>
    <x v="1"/>
    <x v="4"/>
    <n v="0.55882352941176472"/>
  </r>
  <r>
    <s v="ORD-2025-1202"/>
    <s v="2025-05-27"/>
    <x v="1"/>
    <x v="1"/>
    <n v="9"/>
    <n v="40"/>
    <x v="1"/>
    <n v="360"/>
    <n v="225"/>
    <x v="2"/>
    <x v="0"/>
    <x v="4"/>
    <n v="0.625"/>
  </r>
  <r>
    <s v="ORD-2025-1203"/>
    <s v="2025-05-28"/>
    <x v="1"/>
    <x v="11"/>
    <n v="4"/>
    <n v="25"/>
    <x v="0"/>
    <n v="95"/>
    <n v="55"/>
    <x v="1"/>
    <x v="0"/>
    <x v="4"/>
    <n v="0.57894736842105265"/>
  </r>
  <r>
    <s v="ORD-2025-1204"/>
    <s v="2025-05-29"/>
    <x v="1"/>
    <x v="1"/>
    <n v="1"/>
    <n v="40"/>
    <x v="0"/>
    <n v="38"/>
    <n v="23"/>
    <x v="0"/>
    <x v="0"/>
    <x v="4"/>
    <n v="0.60526315789473684"/>
  </r>
  <r>
    <s v="ORD-2025-1205"/>
    <s v="2025-05-29"/>
    <x v="1"/>
    <x v="1"/>
    <n v="3"/>
    <n v="40"/>
    <x v="1"/>
    <n v="120"/>
    <n v="75"/>
    <x v="0"/>
    <x v="0"/>
    <x v="4"/>
    <n v="0.625"/>
  </r>
  <r>
    <s v="ORD-2025-1206"/>
    <s v="2025-05-30"/>
    <x v="0"/>
    <x v="7"/>
    <n v="5"/>
    <n v="450"/>
    <x v="1"/>
    <n v="2250"/>
    <n v="1650"/>
    <x v="2"/>
    <x v="1"/>
    <x v="4"/>
    <n v="0.73333333333333328"/>
  </r>
  <r>
    <s v="ORD-2025-1207"/>
    <s v="2025-05-31"/>
    <x v="1"/>
    <x v="3"/>
    <n v="1"/>
    <n v="80"/>
    <x v="3"/>
    <n v="72"/>
    <n v="42"/>
    <x v="1"/>
    <x v="1"/>
    <x v="4"/>
    <n v="0.58333333333333337"/>
  </r>
  <r>
    <s v="ORD-2025-1208"/>
    <s v="2025-05-31"/>
    <x v="1"/>
    <x v="3"/>
    <n v="2"/>
    <n v="80"/>
    <x v="2"/>
    <n v="136"/>
    <n v="76"/>
    <x v="2"/>
    <x v="2"/>
    <x v="4"/>
    <n v="0.55882352941176472"/>
  </r>
  <r>
    <s v="ORD-2025-1209"/>
    <s v="2025-06-01"/>
    <x v="2"/>
    <x v="10"/>
    <n v="4"/>
    <n v="8"/>
    <x v="3"/>
    <n v="28.8"/>
    <n v="16.8"/>
    <x v="0"/>
    <x v="0"/>
    <x v="5"/>
    <n v="0.58333333333333337"/>
  </r>
  <r>
    <s v="ORD-2025-1210"/>
    <s v="2025-06-02"/>
    <x v="1"/>
    <x v="3"/>
    <n v="7"/>
    <n v="80"/>
    <x v="1"/>
    <n v="560"/>
    <n v="350"/>
    <x v="0"/>
    <x v="2"/>
    <x v="5"/>
    <n v="0.625"/>
  </r>
  <r>
    <s v="ORD-2025-1211"/>
    <s v="2025-06-03"/>
    <x v="0"/>
    <x v="0"/>
    <n v="9"/>
    <n v="110"/>
    <x v="1"/>
    <n v="990"/>
    <n v="720"/>
    <x v="1"/>
    <x v="1"/>
    <x v="5"/>
    <n v="0.72727272727272729"/>
  </r>
  <r>
    <s v="ORD-2025-1212"/>
    <s v="2025-06-03"/>
    <x v="1"/>
    <x v="11"/>
    <n v="4"/>
    <n v="25"/>
    <x v="0"/>
    <n v="95"/>
    <n v="55"/>
    <x v="0"/>
    <x v="2"/>
    <x v="5"/>
    <n v="0.57894736842105265"/>
  </r>
  <r>
    <s v="ORD-2025-1213"/>
    <s v="2025-06-04"/>
    <x v="1"/>
    <x v="14"/>
    <n v="5"/>
    <n v="350"/>
    <x v="2"/>
    <n v="1487.5"/>
    <n v="1037.5"/>
    <x v="2"/>
    <x v="2"/>
    <x v="5"/>
    <n v="0.69747899159663862"/>
  </r>
  <r>
    <s v="ORD-2025-1214"/>
    <s v="2025-06-05"/>
    <x v="2"/>
    <x v="4"/>
    <n v="3"/>
    <n v="25"/>
    <x v="1"/>
    <n v="75"/>
    <n v="51"/>
    <x v="3"/>
    <x v="1"/>
    <x v="5"/>
    <n v="0.68"/>
  </r>
  <r>
    <s v="ORD-2025-1215"/>
    <s v="2025-06-06"/>
    <x v="2"/>
    <x v="10"/>
    <n v="1"/>
    <n v="8"/>
    <x v="0"/>
    <n v="7.6"/>
    <n v="4.5999999999999996"/>
    <x v="3"/>
    <x v="2"/>
    <x v="5"/>
    <n v="0.60526315789473684"/>
  </r>
  <r>
    <s v="ORD-2025-1216"/>
    <s v="2025-06-06"/>
    <x v="0"/>
    <x v="12"/>
    <n v="9"/>
    <n v="35"/>
    <x v="2"/>
    <n v="267.75"/>
    <n v="159.75"/>
    <x v="1"/>
    <x v="1"/>
    <x v="5"/>
    <n v="0.59663865546218486"/>
  </r>
  <r>
    <s v="ORD-2025-1217"/>
    <s v="2025-06-07"/>
    <x v="2"/>
    <x v="8"/>
    <n v="7"/>
    <n v="20"/>
    <x v="0"/>
    <n v="133"/>
    <n v="84"/>
    <x v="0"/>
    <x v="0"/>
    <x v="5"/>
    <n v="0.63157894736842102"/>
  </r>
  <r>
    <s v="ORD-2025-1218"/>
    <s v="2025-06-08"/>
    <x v="2"/>
    <x v="10"/>
    <n v="4"/>
    <n v="8"/>
    <x v="3"/>
    <n v="28.8"/>
    <n v="16.8"/>
    <x v="3"/>
    <x v="0"/>
    <x v="5"/>
    <n v="0.58333333333333337"/>
  </r>
  <r>
    <s v="ORD-2025-1219"/>
    <s v="2025-06-09"/>
    <x v="1"/>
    <x v="14"/>
    <n v="4"/>
    <n v="350"/>
    <x v="1"/>
    <n v="1400"/>
    <n v="1040"/>
    <x v="0"/>
    <x v="1"/>
    <x v="5"/>
    <n v="0.74285714285714288"/>
  </r>
  <r>
    <s v="ORD-2025-1220"/>
    <s v="2025-06-09"/>
    <x v="1"/>
    <x v="1"/>
    <n v="5"/>
    <n v="40"/>
    <x v="0"/>
    <n v="190"/>
    <n v="115"/>
    <x v="3"/>
    <x v="2"/>
    <x v="5"/>
    <n v="0.60526315789473684"/>
  </r>
  <r>
    <s v="ORD-2025-1221"/>
    <s v="2025-06-10"/>
    <x v="1"/>
    <x v="1"/>
    <n v="2"/>
    <n v="40"/>
    <x v="0"/>
    <n v="76"/>
    <n v="46"/>
    <x v="3"/>
    <x v="2"/>
    <x v="5"/>
    <n v="0.60526315789473684"/>
  </r>
  <r>
    <s v="ORD-2025-1222"/>
    <s v="2025-06-11"/>
    <x v="2"/>
    <x v="10"/>
    <n v="9"/>
    <n v="8"/>
    <x v="2"/>
    <n v="61.2"/>
    <n v="34.200000000000003"/>
    <x v="1"/>
    <x v="0"/>
    <x v="5"/>
    <n v="0.55882352941176472"/>
  </r>
  <r>
    <s v="ORD-2025-1223"/>
    <s v="2025-06-11"/>
    <x v="0"/>
    <x v="9"/>
    <n v="1"/>
    <n v="250"/>
    <x v="1"/>
    <n v="250"/>
    <n v="180"/>
    <x v="1"/>
    <x v="0"/>
    <x v="5"/>
    <n v="0.72"/>
  </r>
  <r>
    <s v="ORD-2025-1224"/>
    <s v="2025-06-12"/>
    <x v="0"/>
    <x v="12"/>
    <n v="4"/>
    <n v="35"/>
    <x v="1"/>
    <n v="140"/>
    <n v="92"/>
    <x v="1"/>
    <x v="2"/>
    <x v="5"/>
    <n v="0.65714285714285714"/>
  </r>
  <r>
    <s v="ORD-2025-1225"/>
    <s v="2025-06-13"/>
    <x v="1"/>
    <x v="13"/>
    <n v="1"/>
    <n v="1200"/>
    <x v="2"/>
    <n v="1020"/>
    <n v="720"/>
    <x v="0"/>
    <x v="2"/>
    <x v="5"/>
    <n v="0.70588235294117652"/>
  </r>
  <r>
    <s v="ORD-2025-1226"/>
    <s v="2025-06-14"/>
    <x v="0"/>
    <x v="7"/>
    <n v="6"/>
    <n v="450"/>
    <x v="0"/>
    <n v="2565"/>
    <n v="1845"/>
    <x v="1"/>
    <x v="2"/>
    <x v="5"/>
    <n v="0.7192982456140351"/>
  </r>
  <r>
    <s v="ORD-2025-1227"/>
    <s v="2025-06-14"/>
    <x v="1"/>
    <x v="14"/>
    <n v="1"/>
    <n v="350"/>
    <x v="4"/>
    <n v="280"/>
    <n v="190"/>
    <x v="0"/>
    <x v="2"/>
    <x v="5"/>
    <n v="0.6785714285714286"/>
  </r>
  <r>
    <s v="ORD-2025-1228"/>
    <s v="2025-06-15"/>
    <x v="0"/>
    <x v="9"/>
    <n v="7"/>
    <n v="250"/>
    <x v="0"/>
    <n v="1662.5"/>
    <n v="1172.5"/>
    <x v="0"/>
    <x v="2"/>
    <x v="5"/>
    <n v="0.70526315789473681"/>
  </r>
  <r>
    <s v="ORD-2025-1229"/>
    <s v="2025-06-16"/>
    <x v="2"/>
    <x v="8"/>
    <n v="4"/>
    <n v="20"/>
    <x v="1"/>
    <n v="80"/>
    <n v="52"/>
    <x v="2"/>
    <x v="0"/>
    <x v="5"/>
    <n v="0.65"/>
  </r>
  <r>
    <s v="ORD-2025-1230"/>
    <s v="2025-06-17"/>
    <x v="2"/>
    <x v="8"/>
    <n v="6"/>
    <n v="20"/>
    <x v="3"/>
    <n v="108"/>
    <n v="66"/>
    <x v="3"/>
    <x v="1"/>
    <x v="5"/>
    <n v="0.61111111111111116"/>
  </r>
  <r>
    <s v="ORD-2025-1231"/>
    <s v="2025-06-17"/>
    <x v="0"/>
    <x v="7"/>
    <n v="2"/>
    <n v="450"/>
    <x v="1"/>
    <n v="900"/>
    <n v="660"/>
    <x v="0"/>
    <x v="0"/>
    <x v="5"/>
    <n v="0.73333333333333328"/>
  </r>
  <r>
    <s v="ORD-2025-1232"/>
    <s v="2025-06-18"/>
    <x v="2"/>
    <x v="2"/>
    <n v="3"/>
    <n v="10"/>
    <x v="4"/>
    <n v="24"/>
    <n v="12"/>
    <x v="3"/>
    <x v="0"/>
    <x v="5"/>
    <n v="0.5"/>
  </r>
  <r>
    <s v="ORD-2025-1233"/>
    <s v="2025-06-19"/>
    <x v="2"/>
    <x v="10"/>
    <n v="2"/>
    <n v="8"/>
    <x v="1"/>
    <n v="16"/>
    <n v="10"/>
    <x v="1"/>
    <x v="0"/>
    <x v="5"/>
    <n v="0.625"/>
  </r>
  <r>
    <s v="ORD-2025-1234"/>
    <s v="2025-06-19"/>
    <x v="0"/>
    <x v="6"/>
    <n v="3"/>
    <n v="150"/>
    <x v="1"/>
    <n v="450"/>
    <n v="330"/>
    <x v="3"/>
    <x v="0"/>
    <x v="5"/>
    <n v="0.73333333333333328"/>
  </r>
  <r>
    <s v="ORD-2025-1235"/>
    <s v="2025-06-20"/>
    <x v="0"/>
    <x v="9"/>
    <n v="7"/>
    <n v="250"/>
    <x v="1"/>
    <n v="1750"/>
    <n v="1260"/>
    <x v="2"/>
    <x v="1"/>
    <x v="5"/>
    <n v="0.72"/>
  </r>
  <r>
    <s v="ORD-2025-1236"/>
    <s v="2025-06-21"/>
    <x v="2"/>
    <x v="8"/>
    <n v="5"/>
    <n v="20"/>
    <x v="1"/>
    <n v="100"/>
    <n v="65"/>
    <x v="3"/>
    <x v="2"/>
    <x v="5"/>
    <n v="0.65"/>
  </r>
  <r>
    <s v="ORD-2025-1237"/>
    <s v="2025-06-22"/>
    <x v="1"/>
    <x v="13"/>
    <n v="3"/>
    <n v="1200"/>
    <x v="0"/>
    <n v="3420"/>
    <n v="2520"/>
    <x v="3"/>
    <x v="1"/>
    <x v="5"/>
    <n v="0.73684210526315785"/>
  </r>
  <r>
    <s v="ORD-2025-1238"/>
    <s v="2025-06-22"/>
    <x v="0"/>
    <x v="7"/>
    <n v="2"/>
    <n v="450"/>
    <x v="3"/>
    <n v="810"/>
    <n v="570"/>
    <x v="1"/>
    <x v="2"/>
    <x v="5"/>
    <n v="0.70370370370370372"/>
  </r>
  <r>
    <s v="ORD-2025-1239"/>
    <s v="2025-06-23"/>
    <x v="1"/>
    <x v="1"/>
    <n v="3"/>
    <n v="40"/>
    <x v="0"/>
    <n v="114"/>
    <n v="69"/>
    <x v="1"/>
    <x v="1"/>
    <x v="5"/>
    <n v="0.60526315789473684"/>
  </r>
  <r>
    <s v="ORD-2025-1240"/>
    <s v="2025-06-24"/>
    <x v="1"/>
    <x v="14"/>
    <n v="7"/>
    <n v="350"/>
    <x v="0"/>
    <n v="2327.5"/>
    <n v="1697.5"/>
    <x v="3"/>
    <x v="1"/>
    <x v="5"/>
    <n v="0.72932330827067671"/>
  </r>
  <r>
    <s v="ORD-2025-1241"/>
    <s v="2025-06-25"/>
    <x v="0"/>
    <x v="0"/>
    <n v="9"/>
    <n v="110"/>
    <x v="1"/>
    <n v="990"/>
    <n v="720"/>
    <x v="2"/>
    <x v="1"/>
    <x v="5"/>
    <n v="0.72727272727272729"/>
  </r>
  <r>
    <s v="ORD-2025-1242"/>
    <s v="2025-06-25"/>
    <x v="0"/>
    <x v="9"/>
    <n v="4"/>
    <n v="250"/>
    <x v="0"/>
    <n v="950"/>
    <n v="670"/>
    <x v="0"/>
    <x v="0"/>
    <x v="5"/>
    <n v="0.70526315789473681"/>
  </r>
  <r>
    <s v="ORD-2025-1243"/>
    <s v="2025-06-26"/>
    <x v="2"/>
    <x v="2"/>
    <n v="3"/>
    <n v="10"/>
    <x v="0"/>
    <n v="28.5"/>
    <n v="16.5"/>
    <x v="3"/>
    <x v="1"/>
    <x v="5"/>
    <n v="0.57894736842105265"/>
  </r>
  <r>
    <s v="ORD-2025-1244"/>
    <s v="2025-06-27"/>
    <x v="1"/>
    <x v="1"/>
    <n v="7"/>
    <n v="40"/>
    <x v="1"/>
    <n v="280"/>
    <n v="175"/>
    <x v="0"/>
    <x v="0"/>
    <x v="5"/>
    <n v="0.625"/>
  </r>
  <r>
    <s v="ORD-2025-1245"/>
    <s v="2025-06-27"/>
    <x v="1"/>
    <x v="11"/>
    <n v="9"/>
    <n v="25"/>
    <x v="1"/>
    <n v="225"/>
    <n v="135"/>
    <x v="0"/>
    <x v="1"/>
    <x v="5"/>
    <n v="0.6"/>
  </r>
  <r>
    <s v="ORD-2025-1246"/>
    <s v="2025-06-28"/>
    <x v="2"/>
    <x v="8"/>
    <n v="9"/>
    <n v="20"/>
    <x v="0"/>
    <n v="171"/>
    <n v="108"/>
    <x v="3"/>
    <x v="1"/>
    <x v="5"/>
    <n v="0.63157894736842102"/>
  </r>
  <r>
    <s v="ORD-2025-1247"/>
    <s v="2025-06-29"/>
    <x v="2"/>
    <x v="8"/>
    <n v="8"/>
    <n v="20"/>
    <x v="0"/>
    <n v="152"/>
    <n v="96"/>
    <x v="2"/>
    <x v="0"/>
    <x v="5"/>
    <n v="0.63157894736842102"/>
  </r>
  <r>
    <s v="ORD-2025-1248"/>
    <s v="2025-06-30"/>
    <x v="1"/>
    <x v="11"/>
    <n v="2"/>
    <n v="25"/>
    <x v="1"/>
    <n v="50"/>
    <n v="30"/>
    <x v="0"/>
    <x v="0"/>
    <x v="5"/>
    <n v="0.6"/>
  </r>
  <r>
    <s v="ORD-2025-1249"/>
    <s v="2025-06-30"/>
    <x v="0"/>
    <x v="6"/>
    <n v="6"/>
    <n v="150"/>
    <x v="1"/>
    <n v="900"/>
    <n v="660"/>
    <x v="0"/>
    <x v="0"/>
    <x v="5"/>
    <n v="0.73333333333333328"/>
  </r>
  <r>
    <s v="ORD-2025-1250"/>
    <s v="2025-07-01"/>
    <x v="0"/>
    <x v="12"/>
    <n v="4"/>
    <n v="35"/>
    <x v="4"/>
    <n v="112"/>
    <n v="64"/>
    <x v="2"/>
    <x v="0"/>
    <x v="6"/>
    <n v="0.5714285714285714"/>
  </r>
  <r>
    <s v="ORD-2025-1251"/>
    <s v="2025-07-02"/>
    <x v="2"/>
    <x v="2"/>
    <n v="9"/>
    <n v="10"/>
    <x v="0"/>
    <n v="85.5"/>
    <n v="49.5"/>
    <x v="0"/>
    <x v="1"/>
    <x v="6"/>
    <n v="0.57894736842105265"/>
  </r>
  <r>
    <s v="ORD-2025-1252"/>
    <s v="2025-07-03"/>
    <x v="1"/>
    <x v="14"/>
    <n v="7"/>
    <n v="350"/>
    <x v="1"/>
    <n v="2450"/>
    <n v="1820"/>
    <x v="3"/>
    <x v="1"/>
    <x v="6"/>
    <n v="0.74285714285714288"/>
  </r>
  <r>
    <s v="ORD-2025-1253"/>
    <s v="2025-07-03"/>
    <x v="1"/>
    <x v="11"/>
    <n v="5"/>
    <n v="25"/>
    <x v="1"/>
    <n v="125"/>
    <n v="75"/>
    <x v="1"/>
    <x v="1"/>
    <x v="6"/>
    <n v="0.6"/>
  </r>
  <r>
    <s v="ORD-2025-1254"/>
    <s v="2025-07-04"/>
    <x v="2"/>
    <x v="2"/>
    <n v="1"/>
    <n v="10"/>
    <x v="3"/>
    <n v="9"/>
    <n v="5"/>
    <x v="2"/>
    <x v="1"/>
    <x v="6"/>
    <n v="0.55555555555555558"/>
  </r>
  <r>
    <s v="ORD-2025-1255"/>
    <s v="2025-07-05"/>
    <x v="0"/>
    <x v="9"/>
    <n v="8"/>
    <n v="250"/>
    <x v="2"/>
    <n v="1700"/>
    <n v="1140"/>
    <x v="1"/>
    <x v="0"/>
    <x v="6"/>
    <n v="0.6705882352941176"/>
  </r>
  <r>
    <s v="ORD-2025-1256"/>
    <s v="2025-07-06"/>
    <x v="2"/>
    <x v="8"/>
    <n v="1"/>
    <n v="20"/>
    <x v="0"/>
    <n v="19"/>
    <n v="12"/>
    <x v="2"/>
    <x v="2"/>
    <x v="6"/>
    <n v="0.63157894736842102"/>
  </r>
  <r>
    <s v="ORD-2025-1257"/>
    <s v="2025-07-06"/>
    <x v="2"/>
    <x v="5"/>
    <n v="2"/>
    <n v="15"/>
    <x v="4"/>
    <n v="24"/>
    <n v="14"/>
    <x v="0"/>
    <x v="2"/>
    <x v="6"/>
    <n v="0.58333333333333337"/>
  </r>
  <r>
    <s v="ORD-2025-1258"/>
    <s v="2025-07-07"/>
    <x v="0"/>
    <x v="0"/>
    <n v="9"/>
    <n v="110"/>
    <x v="1"/>
    <n v="990"/>
    <n v="720"/>
    <x v="0"/>
    <x v="0"/>
    <x v="6"/>
    <n v="0.72727272727272729"/>
  </r>
  <r>
    <s v="ORD-2025-1259"/>
    <s v="2025-07-08"/>
    <x v="2"/>
    <x v="8"/>
    <n v="6"/>
    <n v="20"/>
    <x v="1"/>
    <n v="120"/>
    <n v="78"/>
    <x v="2"/>
    <x v="2"/>
    <x v="6"/>
    <n v="0.65"/>
  </r>
  <r>
    <s v="ORD-2025-1260"/>
    <s v="2025-07-08"/>
    <x v="1"/>
    <x v="1"/>
    <n v="1"/>
    <n v="40"/>
    <x v="1"/>
    <n v="40"/>
    <n v="25"/>
    <x v="3"/>
    <x v="0"/>
    <x v="6"/>
    <n v="0.625"/>
  </r>
  <r>
    <s v="ORD-2025-1261"/>
    <s v="2025-07-09"/>
    <x v="1"/>
    <x v="14"/>
    <n v="7"/>
    <n v="350"/>
    <x v="0"/>
    <n v="2327.5"/>
    <n v="1697.5"/>
    <x v="3"/>
    <x v="1"/>
    <x v="6"/>
    <n v="0.72932330827067671"/>
  </r>
  <r>
    <s v="ORD-2025-1262"/>
    <s v="2025-07-10"/>
    <x v="0"/>
    <x v="9"/>
    <n v="3"/>
    <n v="250"/>
    <x v="1"/>
    <n v="750"/>
    <n v="540"/>
    <x v="0"/>
    <x v="1"/>
    <x v="6"/>
    <n v="0.72"/>
  </r>
  <r>
    <s v="ORD-2025-1263"/>
    <s v="2025-07-11"/>
    <x v="2"/>
    <x v="2"/>
    <n v="2"/>
    <n v="10"/>
    <x v="1"/>
    <n v="20"/>
    <n v="12"/>
    <x v="3"/>
    <x v="2"/>
    <x v="6"/>
    <n v="0.6"/>
  </r>
  <r>
    <s v="ORD-2025-1264"/>
    <s v="2025-07-11"/>
    <x v="0"/>
    <x v="12"/>
    <n v="5"/>
    <n v="35"/>
    <x v="3"/>
    <n v="157.5"/>
    <n v="97.5"/>
    <x v="0"/>
    <x v="0"/>
    <x v="6"/>
    <n v="0.61904761904761907"/>
  </r>
  <r>
    <s v="ORD-2025-1265"/>
    <s v="2025-07-12"/>
    <x v="0"/>
    <x v="12"/>
    <n v="4"/>
    <n v="35"/>
    <x v="0"/>
    <n v="133"/>
    <n v="85"/>
    <x v="1"/>
    <x v="2"/>
    <x v="6"/>
    <n v="0.63909774436090228"/>
  </r>
  <r>
    <s v="ORD-2025-1266"/>
    <s v="2025-07-13"/>
    <x v="2"/>
    <x v="10"/>
    <n v="5"/>
    <n v="8"/>
    <x v="1"/>
    <n v="40"/>
    <n v="25"/>
    <x v="0"/>
    <x v="1"/>
    <x v="6"/>
    <n v="0.625"/>
  </r>
  <r>
    <s v="ORD-2025-1267"/>
    <s v="2025-07-14"/>
    <x v="2"/>
    <x v="5"/>
    <n v="4"/>
    <n v="15"/>
    <x v="2"/>
    <n v="51"/>
    <n v="31"/>
    <x v="0"/>
    <x v="2"/>
    <x v="6"/>
    <n v="0.60784313725490191"/>
  </r>
  <r>
    <s v="ORD-2025-1268"/>
    <s v="2025-07-14"/>
    <x v="0"/>
    <x v="7"/>
    <n v="4"/>
    <n v="450"/>
    <x v="1"/>
    <n v="1800"/>
    <n v="1320"/>
    <x v="0"/>
    <x v="0"/>
    <x v="6"/>
    <n v="0.73333333333333328"/>
  </r>
  <r>
    <s v="ORD-2025-1269"/>
    <s v="2025-07-15"/>
    <x v="2"/>
    <x v="10"/>
    <n v="8"/>
    <n v="8"/>
    <x v="1"/>
    <n v="64"/>
    <n v="40"/>
    <x v="1"/>
    <x v="1"/>
    <x v="6"/>
    <n v="0.625"/>
  </r>
  <r>
    <s v="ORD-2025-1270"/>
    <s v="2025-07-16"/>
    <x v="1"/>
    <x v="14"/>
    <n v="9"/>
    <n v="350"/>
    <x v="0"/>
    <n v="2992.5"/>
    <n v="2182.5"/>
    <x v="0"/>
    <x v="2"/>
    <x v="6"/>
    <n v="0.72932330827067671"/>
  </r>
  <r>
    <s v="ORD-2025-1271"/>
    <s v="2025-07-16"/>
    <x v="2"/>
    <x v="5"/>
    <n v="8"/>
    <n v="15"/>
    <x v="4"/>
    <n v="96"/>
    <n v="56"/>
    <x v="3"/>
    <x v="2"/>
    <x v="6"/>
    <n v="0.58333333333333337"/>
  </r>
  <r>
    <s v="ORD-2025-1272"/>
    <s v="2025-07-17"/>
    <x v="0"/>
    <x v="0"/>
    <n v="7"/>
    <n v="110"/>
    <x v="0"/>
    <n v="731.5"/>
    <n v="521.5"/>
    <x v="3"/>
    <x v="1"/>
    <x v="6"/>
    <n v="0.71291866028708128"/>
  </r>
  <r>
    <s v="ORD-2025-1273"/>
    <s v="2025-07-18"/>
    <x v="2"/>
    <x v="2"/>
    <n v="8"/>
    <n v="10"/>
    <x v="1"/>
    <n v="80"/>
    <n v="48"/>
    <x v="2"/>
    <x v="2"/>
    <x v="6"/>
    <n v="0.6"/>
  </r>
  <r>
    <s v="ORD-2025-1274"/>
    <s v="2025-07-19"/>
    <x v="0"/>
    <x v="7"/>
    <n v="5"/>
    <n v="450"/>
    <x v="1"/>
    <n v="2250"/>
    <n v="1650"/>
    <x v="1"/>
    <x v="2"/>
    <x v="6"/>
    <n v="0.73333333333333328"/>
  </r>
  <r>
    <s v="ORD-2025-1275"/>
    <s v="2025-07-19"/>
    <x v="2"/>
    <x v="5"/>
    <n v="2"/>
    <n v="15"/>
    <x v="3"/>
    <n v="27"/>
    <n v="17"/>
    <x v="0"/>
    <x v="1"/>
    <x v="6"/>
    <n v="0.62962962962962965"/>
  </r>
  <r>
    <s v="ORD-2025-1276"/>
    <s v="2025-07-20"/>
    <x v="1"/>
    <x v="13"/>
    <n v="3"/>
    <n v="1200"/>
    <x v="2"/>
    <n v="3060"/>
    <n v="2160"/>
    <x v="3"/>
    <x v="1"/>
    <x v="6"/>
    <n v="0.70588235294117652"/>
  </r>
  <r>
    <s v="ORD-2025-1277"/>
    <s v="2025-07-21"/>
    <x v="1"/>
    <x v="1"/>
    <n v="3"/>
    <n v="40"/>
    <x v="0"/>
    <n v="114"/>
    <n v="69"/>
    <x v="3"/>
    <x v="0"/>
    <x v="6"/>
    <n v="0.60526315789473684"/>
  </r>
  <r>
    <s v="ORD-2025-1278"/>
    <s v="2025-07-22"/>
    <x v="0"/>
    <x v="0"/>
    <n v="9"/>
    <n v="110"/>
    <x v="1"/>
    <n v="990"/>
    <n v="720"/>
    <x v="2"/>
    <x v="0"/>
    <x v="6"/>
    <n v="0.72727272727272729"/>
  </r>
  <r>
    <s v="ORD-2025-1279"/>
    <s v="2025-07-22"/>
    <x v="2"/>
    <x v="10"/>
    <n v="6"/>
    <n v="8"/>
    <x v="1"/>
    <n v="48"/>
    <n v="30"/>
    <x v="1"/>
    <x v="0"/>
    <x v="6"/>
    <n v="0.625"/>
  </r>
  <r>
    <s v="ORD-2025-1280"/>
    <s v="2025-07-23"/>
    <x v="1"/>
    <x v="3"/>
    <n v="4"/>
    <n v="80"/>
    <x v="3"/>
    <n v="288"/>
    <n v="168"/>
    <x v="1"/>
    <x v="0"/>
    <x v="6"/>
    <n v="0.58333333333333337"/>
  </r>
  <r>
    <s v="ORD-2025-1281"/>
    <s v="2025-07-24"/>
    <x v="1"/>
    <x v="1"/>
    <n v="1"/>
    <n v="40"/>
    <x v="0"/>
    <n v="38"/>
    <n v="23"/>
    <x v="3"/>
    <x v="0"/>
    <x v="6"/>
    <n v="0.60526315789473684"/>
  </r>
  <r>
    <s v="ORD-2025-1282"/>
    <s v="2025-07-24"/>
    <x v="1"/>
    <x v="14"/>
    <n v="1"/>
    <n v="350"/>
    <x v="3"/>
    <n v="315"/>
    <n v="225"/>
    <x v="1"/>
    <x v="0"/>
    <x v="6"/>
    <n v="0.7142857142857143"/>
  </r>
  <r>
    <s v="ORD-2025-1283"/>
    <s v="2025-07-25"/>
    <x v="0"/>
    <x v="7"/>
    <n v="3"/>
    <n v="450"/>
    <x v="0"/>
    <n v="1282.5"/>
    <n v="922.5"/>
    <x v="3"/>
    <x v="0"/>
    <x v="6"/>
    <n v="0.7192982456140351"/>
  </r>
  <r>
    <s v="ORD-2025-1284"/>
    <s v="2025-07-26"/>
    <x v="2"/>
    <x v="8"/>
    <n v="2"/>
    <n v="20"/>
    <x v="1"/>
    <n v="40"/>
    <n v="26"/>
    <x v="2"/>
    <x v="1"/>
    <x v="6"/>
    <n v="0.65"/>
  </r>
  <r>
    <s v="ORD-2025-1285"/>
    <s v="2025-07-27"/>
    <x v="1"/>
    <x v="14"/>
    <n v="4"/>
    <n v="350"/>
    <x v="4"/>
    <n v="1120"/>
    <n v="760"/>
    <x v="1"/>
    <x v="1"/>
    <x v="6"/>
    <n v="0.6785714285714286"/>
  </r>
  <r>
    <s v="ORD-2025-1286"/>
    <s v="2025-07-27"/>
    <x v="1"/>
    <x v="11"/>
    <n v="9"/>
    <n v="25"/>
    <x v="3"/>
    <n v="202.5"/>
    <n v="112.5"/>
    <x v="0"/>
    <x v="0"/>
    <x v="6"/>
    <n v="0.55555555555555558"/>
  </r>
  <r>
    <s v="ORD-2025-1287"/>
    <s v="2025-07-28"/>
    <x v="2"/>
    <x v="10"/>
    <n v="7"/>
    <n v="8"/>
    <x v="1"/>
    <n v="56"/>
    <n v="35"/>
    <x v="0"/>
    <x v="2"/>
    <x v="6"/>
    <n v="0.625"/>
  </r>
  <r>
    <s v="ORD-2025-1288"/>
    <s v="2025-07-29"/>
    <x v="2"/>
    <x v="8"/>
    <n v="1"/>
    <n v="20"/>
    <x v="3"/>
    <n v="18"/>
    <n v="11"/>
    <x v="3"/>
    <x v="1"/>
    <x v="6"/>
    <n v="0.61111111111111116"/>
  </r>
  <r>
    <s v="ORD-2025-1289"/>
    <s v="2025-07-30"/>
    <x v="1"/>
    <x v="13"/>
    <n v="5"/>
    <n v="1200"/>
    <x v="3"/>
    <n v="5400"/>
    <n v="3900"/>
    <x v="1"/>
    <x v="1"/>
    <x v="6"/>
    <n v="0.72222222222222221"/>
  </r>
  <r>
    <s v="ORD-2025-1290"/>
    <s v="2025-07-30"/>
    <x v="1"/>
    <x v="13"/>
    <n v="7"/>
    <n v="1200"/>
    <x v="1"/>
    <n v="8400"/>
    <n v="6300"/>
    <x v="3"/>
    <x v="0"/>
    <x v="6"/>
    <n v="0.75"/>
  </r>
  <r>
    <s v="ORD-2025-1291"/>
    <s v="2025-07-31"/>
    <x v="2"/>
    <x v="5"/>
    <n v="1"/>
    <n v="15"/>
    <x v="1"/>
    <n v="15"/>
    <n v="10"/>
    <x v="3"/>
    <x v="1"/>
    <x v="6"/>
    <n v="0.66666666666666663"/>
  </r>
  <r>
    <s v="ORD-2025-1292"/>
    <s v="2025-08-01"/>
    <x v="0"/>
    <x v="6"/>
    <n v="6"/>
    <n v="150"/>
    <x v="1"/>
    <n v="900"/>
    <n v="660"/>
    <x v="2"/>
    <x v="2"/>
    <x v="7"/>
    <n v="0.73333333333333328"/>
  </r>
  <r>
    <s v="ORD-2025-1293"/>
    <s v="2025-08-02"/>
    <x v="1"/>
    <x v="13"/>
    <n v="6"/>
    <n v="1200"/>
    <x v="3"/>
    <n v="6480"/>
    <n v="4680"/>
    <x v="3"/>
    <x v="2"/>
    <x v="7"/>
    <n v="0.72222222222222221"/>
  </r>
  <r>
    <s v="ORD-2025-1294"/>
    <s v="2025-08-02"/>
    <x v="2"/>
    <x v="10"/>
    <n v="7"/>
    <n v="8"/>
    <x v="1"/>
    <n v="56"/>
    <n v="35"/>
    <x v="0"/>
    <x v="1"/>
    <x v="7"/>
    <n v="0.625"/>
  </r>
  <r>
    <s v="ORD-2025-1295"/>
    <s v="2025-08-03"/>
    <x v="1"/>
    <x v="11"/>
    <n v="3"/>
    <n v="25"/>
    <x v="1"/>
    <n v="75"/>
    <n v="45"/>
    <x v="2"/>
    <x v="1"/>
    <x v="7"/>
    <n v="0.6"/>
  </r>
  <r>
    <s v="ORD-2025-1296"/>
    <s v="2025-08-04"/>
    <x v="2"/>
    <x v="5"/>
    <n v="6"/>
    <n v="15"/>
    <x v="1"/>
    <n v="90"/>
    <n v="60"/>
    <x v="1"/>
    <x v="0"/>
    <x v="7"/>
    <n v="0.66666666666666663"/>
  </r>
  <r>
    <s v="ORD-2025-1297"/>
    <s v="2025-08-04"/>
    <x v="2"/>
    <x v="4"/>
    <n v="4"/>
    <n v="25"/>
    <x v="0"/>
    <n v="95"/>
    <n v="63"/>
    <x v="3"/>
    <x v="0"/>
    <x v="7"/>
    <n v="0.66315789473684206"/>
  </r>
  <r>
    <s v="ORD-2025-1298"/>
    <s v="2025-08-05"/>
    <x v="0"/>
    <x v="0"/>
    <n v="2"/>
    <n v="110"/>
    <x v="0"/>
    <n v="209"/>
    <n v="149"/>
    <x v="0"/>
    <x v="0"/>
    <x v="7"/>
    <n v="0.71291866028708128"/>
  </r>
  <r>
    <s v="ORD-2025-1299"/>
    <s v="2025-08-06"/>
    <x v="2"/>
    <x v="8"/>
    <n v="4"/>
    <n v="20"/>
    <x v="1"/>
    <n v="80"/>
    <n v="52"/>
    <x v="0"/>
    <x v="1"/>
    <x v="7"/>
    <n v="0.65"/>
  </r>
  <r>
    <s v="ORD-2025-1300"/>
    <s v="2025-08-07"/>
    <x v="1"/>
    <x v="11"/>
    <n v="7"/>
    <n v="25"/>
    <x v="1"/>
    <n v="175"/>
    <n v="105"/>
    <x v="0"/>
    <x v="1"/>
    <x v="7"/>
    <n v="0.6"/>
  </r>
  <r>
    <s v="ORD-2025-1301"/>
    <s v="2025-08-07"/>
    <x v="0"/>
    <x v="7"/>
    <n v="2"/>
    <n v="450"/>
    <x v="1"/>
    <n v="900"/>
    <n v="660"/>
    <x v="1"/>
    <x v="2"/>
    <x v="7"/>
    <n v="0.73333333333333328"/>
  </r>
  <r>
    <s v="ORD-2025-1302"/>
    <s v="2025-08-08"/>
    <x v="1"/>
    <x v="3"/>
    <n v="5"/>
    <n v="80"/>
    <x v="1"/>
    <n v="400"/>
    <n v="250"/>
    <x v="3"/>
    <x v="0"/>
    <x v="7"/>
    <n v="0.625"/>
  </r>
  <r>
    <s v="ORD-2025-1303"/>
    <s v="2025-08-09"/>
    <x v="2"/>
    <x v="8"/>
    <n v="1"/>
    <n v="20"/>
    <x v="0"/>
    <n v="19"/>
    <n v="12"/>
    <x v="2"/>
    <x v="2"/>
    <x v="7"/>
    <n v="0.63157894736842102"/>
  </r>
  <r>
    <s v="ORD-2025-1304"/>
    <s v="2025-08-10"/>
    <x v="0"/>
    <x v="12"/>
    <n v="4"/>
    <n v="35"/>
    <x v="0"/>
    <n v="133"/>
    <n v="85"/>
    <x v="2"/>
    <x v="1"/>
    <x v="7"/>
    <n v="0.63909774436090228"/>
  </r>
  <r>
    <s v="ORD-2025-1305"/>
    <s v="2025-08-10"/>
    <x v="2"/>
    <x v="4"/>
    <n v="3"/>
    <n v="25"/>
    <x v="1"/>
    <n v="75"/>
    <n v="51"/>
    <x v="3"/>
    <x v="2"/>
    <x v="7"/>
    <n v="0.68"/>
  </r>
  <r>
    <s v="ORD-2025-1306"/>
    <s v="2025-08-11"/>
    <x v="2"/>
    <x v="4"/>
    <n v="7"/>
    <n v="25"/>
    <x v="1"/>
    <n v="175"/>
    <n v="119"/>
    <x v="3"/>
    <x v="0"/>
    <x v="7"/>
    <n v="0.68"/>
  </r>
  <r>
    <s v="ORD-2025-1307"/>
    <s v="2025-08-12"/>
    <x v="1"/>
    <x v="11"/>
    <n v="7"/>
    <n v="25"/>
    <x v="1"/>
    <n v="175"/>
    <n v="105"/>
    <x v="3"/>
    <x v="0"/>
    <x v="7"/>
    <n v="0.6"/>
  </r>
  <r>
    <s v="ORD-2025-1308"/>
    <s v="2025-08-12"/>
    <x v="1"/>
    <x v="11"/>
    <n v="5"/>
    <n v="25"/>
    <x v="1"/>
    <n v="125"/>
    <n v="75"/>
    <x v="0"/>
    <x v="0"/>
    <x v="7"/>
    <n v="0.6"/>
  </r>
  <r>
    <s v="ORD-2025-1309"/>
    <s v="2025-08-13"/>
    <x v="0"/>
    <x v="9"/>
    <n v="5"/>
    <n v="250"/>
    <x v="3"/>
    <n v="1125"/>
    <n v="775"/>
    <x v="0"/>
    <x v="1"/>
    <x v="7"/>
    <n v="0.68888888888888888"/>
  </r>
  <r>
    <s v="ORD-2025-1310"/>
    <s v="2025-08-14"/>
    <x v="1"/>
    <x v="14"/>
    <n v="2"/>
    <n v="350"/>
    <x v="1"/>
    <n v="700"/>
    <n v="520"/>
    <x v="3"/>
    <x v="0"/>
    <x v="7"/>
    <n v="0.74285714285714288"/>
  </r>
  <r>
    <s v="ORD-2025-1311"/>
    <s v="2025-08-15"/>
    <x v="0"/>
    <x v="0"/>
    <n v="1"/>
    <n v="110"/>
    <x v="4"/>
    <n v="88"/>
    <n v="58"/>
    <x v="1"/>
    <x v="0"/>
    <x v="7"/>
    <n v="0.65909090909090906"/>
  </r>
  <r>
    <s v="ORD-2025-1312"/>
    <s v="2025-08-15"/>
    <x v="2"/>
    <x v="8"/>
    <n v="1"/>
    <n v="20"/>
    <x v="3"/>
    <n v="18"/>
    <n v="11"/>
    <x v="0"/>
    <x v="2"/>
    <x v="7"/>
    <n v="0.61111111111111116"/>
  </r>
  <r>
    <s v="ORD-2025-1313"/>
    <s v="2025-08-16"/>
    <x v="0"/>
    <x v="6"/>
    <n v="7"/>
    <n v="150"/>
    <x v="0"/>
    <n v="997.5"/>
    <n v="717.5"/>
    <x v="2"/>
    <x v="1"/>
    <x v="7"/>
    <n v="0.7192982456140351"/>
  </r>
  <r>
    <s v="ORD-2025-1314"/>
    <s v="2025-08-17"/>
    <x v="0"/>
    <x v="12"/>
    <n v="7"/>
    <n v="35"/>
    <x v="0"/>
    <n v="232.75"/>
    <n v="148.75"/>
    <x v="0"/>
    <x v="1"/>
    <x v="7"/>
    <n v="0.63909774436090228"/>
  </r>
  <r>
    <s v="ORD-2025-1315"/>
    <s v="2025-08-18"/>
    <x v="0"/>
    <x v="0"/>
    <n v="8"/>
    <n v="110"/>
    <x v="1"/>
    <n v="880"/>
    <n v="640"/>
    <x v="0"/>
    <x v="1"/>
    <x v="7"/>
    <n v="0.72727272727272729"/>
  </r>
  <r>
    <s v="ORD-2025-1316"/>
    <s v="2025-08-18"/>
    <x v="1"/>
    <x v="3"/>
    <n v="8"/>
    <n v="80"/>
    <x v="1"/>
    <n v="640"/>
    <n v="400"/>
    <x v="3"/>
    <x v="0"/>
    <x v="7"/>
    <n v="0.625"/>
  </r>
  <r>
    <s v="ORD-2025-1317"/>
    <s v="2025-08-19"/>
    <x v="0"/>
    <x v="12"/>
    <n v="4"/>
    <n v="35"/>
    <x v="3"/>
    <n v="126"/>
    <n v="78"/>
    <x v="1"/>
    <x v="0"/>
    <x v="7"/>
    <n v="0.61904761904761907"/>
  </r>
  <r>
    <s v="ORD-2025-1318"/>
    <s v="2025-08-20"/>
    <x v="1"/>
    <x v="1"/>
    <n v="5"/>
    <n v="40"/>
    <x v="0"/>
    <n v="190"/>
    <n v="115"/>
    <x v="1"/>
    <x v="0"/>
    <x v="7"/>
    <n v="0.60526315789473684"/>
  </r>
  <r>
    <s v="ORD-2025-1319"/>
    <s v="2025-08-20"/>
    <x v="1"/>
    <x v="14"/>
    <n v="1"/>
    <n v="350"/>
    <x v="1"/>
    <n v="350"/>
    <n v="260"/>
    <x v="1"/>
    <x v="1"/>
    <x v="7"/>
    <n v="0.74285714285714288"/>
  </r>
  <r>
    <s v="ORD-2025-1320"/>
    <s v="2025-08-21"/>
    <x v="0"/>
    <x v="7"/>
    <n v="3"/>
    <n v="450"/>
    <x v="1"/>
    <n v="1350"/>
    <n v="990"/>
    <x v="1"/>
    <x v="1"/>
    <x v="7"/>
    <n v="0.73333333333333328"/>
  </r>
  <r>
    <s v="ORD-2025-1321"/>
    <s v="2025-08-22"/>
    <x v="0"/>
    <x v="7"/>
    <n v="7"/>
    <n v="450"/>
    <x v="1"/>
    <n v="3150"/>
    <n v="2310"/>
    <x v="2"/>
    <x v="1"/>
    <x v="7"/>
    <n v="0.73333333333333328"/>
  </r>
  <r>
    <s v="ORD-2025-1322"/>
    <s v="2025-08-23"/>
    <x v="1"/>
    <x v="11"/>
    <n v="6"/>
    <n v="25"/>
    <x v="1"/>
    <n v="150"/>
    <n v="90"/>
    <x v="2"/>
    <x v="1"/>
    <x v="7"/>
    <n v="0.6"/>
  </r>
  <r>
    <s v="ORD-2025-1323"/>
    <s v="2025-08-23"/>
    <x v="0"/>
    <x v="7"/>
    <n v="1"/>
    <n v="450"/>
    <x v="2"/>
    <n v="382.5"/>
    <n v="262.5"/>
    <x v="0"/>
    <x v="0"/>
    <x v="7"/>
    <n v="0.68627450980392157"/>
  </r>
  <r>
    <s v="ORD-2025-1324"/>
    <s v="2025-08-24"/>
    <x v="0"/>
    <x v="12"/>
    <n v="9"/>
    <n v="35"/>
    <x v="1"/>
    <n v="315"/>
    <n v="207"/>
    <x v="0"/>
    <x v="2"/>
    <x v="7"/>
    <n v="0.65714285714285714"/>
  </r>
  <r>
    <s v="ORD-2025-1325"/>
    <s v="2025-08-25"/>
    <x v="2"/>
    <x v="10"/>
    <n v="1"/>
    <n v="8"/>
    <x v="0"/>
    <n v="7.6"/>
    <n v="4.5999999999999996"/>
    <x v="0"/>
    <x v="2"/>
    <x v="7"/>
    <n v="0.60526315789473684"/>
  </r>
  <r>
    <s v="ORD-2025-1326"/>
    <s v="2025-08-26"/>
    <x v="2"/>
    <x v="5"/>
    <n v="9"/>
    <n v="15"/>
    <x v="0"/>
    <n v="128.25"/>
    <n v="83.25"/>
    <x v="1"/>
    <x v="0"/>
    <x v="7"/>
    <n v="0.64912280701754388"/>
  </r>
  <r>
    <s v="ORD-2025-1327"/>
    <s v="2025-08-26"/>
    <x v="2"/>
    <x v="8"/>
    <n v="6"/>
    <n v="20"/>
    <x v="3"/>
    <n v="108"/>
    <n v="66"/>
    <x v="0"/>
    <x v="1"/>
    <x v="7"/>
    <n v="0.61111111111111116"/>
  </r>
  <r>
    <s v="ORD-2025-1328"/>
    <s v="2025-08-27"/>
    <x v="2"/>
    <x v="2"/>
    <n v="5"/>
    <n v="10"/>
    <x v="3"/>
    <n v="45"/>
    <n v="25"/>
    <x v="2"/>
    <x v="0"/>
    <x v="7"/>
    <n v="0.55555555555555558"/>
  </r>
  <r>
    <s v="ORD-2025-1329"/>
    <s v="2025-08-28"/>
    <x v="0"/>
    <x v="12"/>
    <n v="6"/>
    <n v="35"/>
    <x v="0"/>
    <n v="199.5"/>
    <n v="127.5"/>
    <x v="1"/>
    <x v="1"/>
    <x v="7"/>
    <n v="0.63909774436090228"/>
  </r>
  <r>
    <s v="ORD-2025-1330"/>
    <s v="2025-08-28"/>
    <x v="1"/>
    <x v="3"/>
    <n v="7"/>
    <n v="80"/>
    <x v="0"/>
    <n v="532"/>
    <n v="322"/>
    <x v="2"/>
    <x v="1"/>
    <x v="7"/>
    <n v="0.60526315789473684"/>
  </r>
  <r>
    <s v="ORD-2025-1331"/>
    <s v="2025-08-29"/>
    <x v="2"/>
    <x v="2"/>
    <n v="8"/>
    <n v="10"/>
    <x v="1"/>
    <n v="80"/>
    <n v="48"/>
    <x v="1"/>
    <x v="2"/>
    <x v="7"/>
    <n v="0.6"/>
  </r>
  <r>
    <s v="ORD-2025-1332"/>
    <s v="2025-08-30"/>
    <x v="1"/>
    <x v="11"/>
    <n v="2"/>
    <n v="25"/>
    <x v="1"/>
    <n v="50"/>
    <n v="30"/>
    <x v="1"/>
    <x v="1"/>
    <x v="7"/>
    <n v="0.6"/>
  </r>
  <r>
    <s v="ORD-2025-1333"/>
    <s v="2025-08-31"/>
    <x v="0"/>
    <x v="6"/>
    <n v="2"/>
    <n v="150"/>
    <x v="1"/>
    <n v="300"/>
    <n v="220"/>
    <x v="1"/>
    <x v="1"/>
    <x v="7"/>
    <n v="0.73333333333333328"/>
  </r>
  <r>
    <s v="ORD-2025-1334"/>
    <s v="2025-08-31"/>
    <x v="1"/>
    <x v="11"/>
    <n v="6"/>
    <n v="25"/>
    <x v="3"/>
    <n v="135"/>
    <n v="75"/>
    <x v="0"/>
    <x v="1"/>
    <x v="7"/>
    <n v="0.55555555555555558"/>
  </r>
  <r>
    <s v="ORD-2025-1335"/>
    <s v="2025-09-01"/>
    <x v="2"/>
    <x v="8"/>
    <n v="3"/>
    <n v="20"/>
    <x v="3"/>
    <n v="54"/>
    <n v="33"/>
    <x v="3"/>
    <x v="1"/>
    <x v="8"/>
    <n v="0.61111111111111116"/>
  </r>
  <r>
    <s v="ORD-2025-1336"/>
    <s v="2025-09-02"/>
    <x v="1"/>
    <x v="1"/>
    <n v="4"/>
    <n v="40"/>
    <x v="3"/>
    <n v="144"/>
    <n v="84"/>
    <x v="2"/>
    <x v="1"/>
    <x v="8"/>
    <n v="0.58333333333333337"/>
  </r>
  <r>
    <s v="ORD-2025-1337"/>
    <s v="2025-09-03"/>
    <x v="0"/>
    <x v="0"/>
    <n v="6"/>
    <n v="110"/>
    <x v="0"/>
    <n v="627"/>
    <n v="447"/>
    <x v="0"/>
    <x v="1"/>
    <x v="8"/>
    <n v="0.71291866028708128"/>
  </r>
  <r>
    <s v="ORD-2025-1338"/>
    <s v="2025-09-03"/>
    <x v="0"/>
    <x v="9"/>
    <n v="4"/>
    <n v="250"/>
    <x v="1"/>
    <n v="1000"/>
    <n v="720"/>
    <x v="2"/>
    <x v="1"/>
    <x v="8"/>
    <n v="0.72"/>
  </r>
  <r>
    <s v="ORD-2025-1339"/>
    <s v="2025-09-04"/>
    <x v="2"/>
    <x v="4"/>
    <n v="7"/>
    <n v="25"/>
    <x v="3"/>
    <n v="157.5"/>
    <n v="101.5"/>
    <x v="0"/>
    <x v="1"/>
    <x v="8"/>
    <n v="0.64444444444444449"/>
  </r>
  <r>
    <s v="ORD-2025-1340"/>
    <s v="2025-09-05"/>
    <x v="0"/>
    <x v="6"/>
    <n v="3"/>
    <n v="150"/>
    <x v="1"/>
    <n v="450"/>
    <n v="330"/>
    <x v="0"/>
    <x v="0"/>
    <x v="8"/>
    <n v="0.73333333333333328"/>
  </r>
  <r>
    <s v="ORD-2025-1341"/>
    <s v="2025-09-06"/>
    <x v="1"/>
    <x v="11"/>
    <n v="6"/>
    <n v="25"/>
    <x v="1"/>
    <n v="150"/>
    <n v="90"/>
    <x v="2"/>
    <x v="1"/>
    <x v="8"/>
    <n v="0.6"/>
  </r>
  <r>
    <s v="ORD-2025-1342"/>
    <s v="2025-09-06"/>
    <x v="0"/>
    <x v="9"/>
    <n v="7"/>
    <n v="250"/>
    <x v="1"/>
    <n v="1750"/>
    <n v="1260"/>
    <x v="3"/>
    <x v="0"/>
    <x v="8"/>
    <n v="0.72"/>
  </r>
  <r>
    <s v="ORD-2025-1343"/>
    <s v="2025-09-07"/>
    <x v="2"/>
    <x v="10"/>
    <n v="9"/>
    <n v="8"/>
    <x v="2"/>
    <n v="61.2"/>
    <n v="34.200000000000003"/>
    <x v="1"/>
    <x v="1"/>
    <x v="8"/>
    <n v="0.55882352941176472"/>
  </r>
  <r>
    <s v="ORD-2025-1344"/>
    <s v="2025-09-08"/>
    <x v="0"/>
    <x v="6"/>
    <n v="6"/>
    <n v="150"/>
    <x v="4"/>
    <n v="720"/>
    <n v="480"/>
    <x v="1"/>
    <x v="1"/>
    <x v="8"/>
    <n v="0.66666666666666663"/>
  </r>
  <r>
    <s v="ORD-2025-1345"/>
    <s v="2025-09-08"/>
    <x v="2"/>
    <x v="4"/>
    <n v="9"/>
    <n v="25"/>
    <x v="0"/>
    <n v="213.75"/>
    <n v="141.75"/>
    <x v="2"/>
    <x v="0"/>
    <x v="8"/>
    <n v="0.66315789473684206"/>
  </r>
  <r>
    <s v="ORD-2025-1346"/>
    <s v="2025-09-09"/>
    <x v="2"/>
    <x v="4"/>
    <n v="6"/>
    <n v="25"/>
    <x v="0"/>
    <n v="142.5"/>
    <n v="94.5"/>
    <x v="0"/>
    <x v="2"/>
    <x v="8"/>
    <n v="0.66315789473684206"/>
  </r>
  <r>
    <s v="ORD-2025-1347"/>
    <s v="2025-09-10"/>
    <x v="1"/>
    <x v="11"/>
    <n v="3"/>
    <n v="25"/>
    <x v="1"/>
    <n v="75"/>
    <n v="45"/>
    <x v="3"/>
    <x v="1"/>
    <x v="8"/>
    <n v="0.6"/>
  </r>
  <r>
    <s v="ORD-2025-1348"/>
    <s v="2025-09-11"/>
    <x v="0"/>
    <x v="0"/>
    <n v="4"/>
    <n v="110"/>
    <x v="1"/>
    <n v="440"/>
    <n v="320"/>
    <x v="0"/>
    <x v="1"/>
    <x v="8"/>
    <n v="0.72727272727272729"/>
  </r>
  <r>
    <s v="ORD-2025-1349"/>
    <s v="2025-09-11"/>
    <x v="0"/>
    <x v="9"/>
    <n v="8"/>
    <n v="250"/>
    <x v="3"/>
    <n v="1800"/>
    <n v="1240"/>
    <x v="1"/>
    <x v="0"/>
    <x v="8"/>
    <n v="0.68888888888888888"/>
  </r>
  <r>
    <s v="ORD-2025-1350"/>
    <s v="2025-09-12"/>
    <x v="0"/>
    <x v="12"/>
    <n v="9"/>
    <n v="35"/>
    <x v="3"/>
    <n v="283.5"/>
    <n v="175.5"/>
    <x v="1"/>
    <x v="2"/>
    <x v="8"/>
    <n v="0.61904761904761907"/>
  </r>
  <r>
    <s v="ORD-2025-1351"/>
    <s v="2025-09-13"/>
    <x v="1"/>
    <x v="14"/>
    <n v="6"/>
    <n v="350"/>
    <x v="1"/>
    <n v="2100"/>
    <n v="1560"/>
    <x v="0"/>
    <x v="2"/>
    <x v="8"/>
    <n v="0.74285714285714288"/>
  </r>
  <r>
    <s v="ORD-2025-1352"/>
    <s v="2025-09-14"/>
    <x v="1"/>
    <x v="11"/>
    <n v="9"/>
    <n v="25"/>
    <x v="3"/>
    <n v="202.5"/>
    <n v="112.5"/>
    <x v="0"/>
    <x v="1"/>
    <x v="8"/>
    <n v="0.55555555555555558"/>
  </r>
  <r>
    <s v="ORD-2025-1353"/>
    <s v="2025-09-14"/>
    <x v="1"/>
    <x v="14"/>
    <n v="2"/>
    <n v="350"/>
    <x v="2"/>
    <n v="595"/>
    <n v="415"/>
    <x v="0"/>
    <x v="1"/>
    <x v="8"/>
    <n v="0.69747899159663862"/>
  </r>
  <r>
    <s v="ORD-2025-1354"/>
    <s v="2025-09-15"/>
    <x v="0"/>
    <x v="7"/>
    <n v="8"/>
    <n v="450"/>
    <x v="0"/>
    <n v="3420"/>
    <n v="2460"/>
    <x v="0"/>
    <x v="2"/>
    <x v="8"/>
    <n v="0.7192982456140351"/>
  </r>
  <r>
    <s v="ORD-2025-1355"/>
    <s v="2025-09-16"/>
    <x v="0"/>
    <x v="7"/>
    <n v="8"/>
    <n v="450"/>
    <x v="1"/>
    <n v="3600"/>
    <n v="2640"/>
    <x v="1"/>
    <x v="2"/>
    <x v="8"/>
    <n v="0.73333333333333328"/>
  </r>
  <r>
    <s v="ORD-2025-1356"/>
    <s v="2025-09-16"/>
    <x v="1"/>
    <x v="3"/>
    <n v="7"/>
    <n v="80"/>
    <x v="1"/>
    <n v="560"/>
    <n v="350"/>
    <x v="1"/>
    <x v="1"/>
    <x v="8"/>
    <n v="0.625"/>
  </r>
  <r>
    <s v="ORD-2025-1357"/>
    <s v="2025-09-17"/>
    <x v="2"/>
    <x v="8"/>
    <n v="9"/>
    <n v="20"/>
    <x v="1"/>
    <n v="180"/>
    <n v="117"/>
    <x v="0"/>
    <x v="1"/>
    <x v="8"/>
    <n v="0.65"/>
  </r>
  <r>
    <s v="ORD-2025-1358"/>
    <s v="2025-09-18"/>
    <x v="0"/>
    <x v="9"/>
    <n v="7"/>
    <n v="250"/>
    <x v="0"/>
    <n v="1662.5"/>
    <n v="1172.5"/>
    <x v="3"/>
    <x v="2"/>
    <x v="8"/>
    <n v="0.70526315789473681"/>
  </r>
  <r>
    <s v="ORD-2025-1359"/>
    <s v="2025-09-19"/>
    <x v="1"/>
    <x v="14"/>
    <n v="9"/>
    <n v="350"/>
    <x v="3"/>
    <n v="2835"/>
    <n v="2025"/>
    <x v="3"/>
    <x v="1"/>
    <x v="8"/>
    <n v="0.7142857142857143"/>
  </r>
  <r>
    <s v="ORD-2025-1360"/>
    <s v="2025-09-19"/>
    <x v="1"/>
    <x v="11"/>
    <n v="1"/>
    <n v="25"/>
    <x v="1"/>
    <n v="25"/>
    <n v="15"/>
    <x v="0"/>
    <x v="1"/>
    <x v="8"/>
    <n v="0.6"/>
  </r>
  <r>
    <s v="ORD-2025-1361"/>
    <s v="2025-09-20"/>
    <x v="1"/>
    <x v="11"/>
    <n v="2"/>
    <n v="25"/>
    <x v="2"/>
    <n v="42.5"/>
    <n v="22.5"/>
    <x v="3"/>
    <x v="1"/>
    <x v="8"/>
    <n v="0.52941176470588236"/>
  </r>
  <r>
    <s v="ORD-2025-1362"/>
    <s v="2025-09-21"/>
    <x v="1"/>
    <x v="14"/>
    <n v="3"/>
    <n v="350"/>
    <x v="1"/>
    <n v="1050"/>
    <n v="780"/>
    <x v="1"/>
    <x v="0"/>
    <x v="8"/>
    <n v="0.74285714285714288"/>
  </r>
  <r>
    <s v="ORD-2025-1363"/>
    <s v="2025-09-22"/>
    <x v="1"/>
    <x v="14"/>
    <n v="4"/>
    <n v="350"/>
    <x v="3"/>
    <n v="1260"/>
    <n v="900"/>
    <x v="3"/>
    <x v="0"/>
    <x v="8"/>
    <n v="0.7142857142857143"/>
  </r>
  <r>
    <s v="ORD-2025-1364"/>
    <s v="2025-09-22"/>
    <x v="2"/>
    <x v="8"/>
    <n v="9"/>
    <n v="20"/>
    <x v="0"/>
    <n v="171"/>
    <n v="108"/>
    <x v="1"/>
    <x v="1"/>
    <x v="8"/>
    <n v="0.63157894736842102"/>
  </r>
  <r>
    <s v="ORD-2025-1365"/>
    <s v="2025-09-23"/>
    <x v="0"/>
    <x v="6"/>
    <n v="8"/>
    <n v="150"/>
    <x v="1"/>
    <n v="1200"/>
    <n v="880"/>
    <x v="3"/>
    <x v="1"/>
    <x v="8"/>
    <n v="0.73333333333333328"/>
  </r>
  <r>
    <s v="ORD-2025-1366"/>
    <s v="2025-09-24"/>
    <x v="0"/>
    <x v="9"/>
    <n v="2"/>
    <n v="250"/>
    <x v="1"/>
    <n v="500"/>
    <n v="360"/>
    <x v="3"/>
    <x v="0"/>
    <x v="8"/>
    <n v="0.72"/>
  </r>
  <r>
    <s v="ORD-2025-1367"/>
    <s v="2025-09-24"/>
    <x v="1"/>
    <x v="14"/>
    <n v="9"/>
    <n v="350"/>
    <x v="0"/>
    <n v="2992.5"/>
    <n v="2182.5"/>
    <x v="1"/>
    <x v="1"/>
    <x v="8"/>
    <n v="0.72932330827067671"/>
  </r>
  <r>
    <s v="ORD-2025-1368"/>
    <s v="2025-09-25"/>
    <x v="0"/>
    <x v="7"/>
    <n v="4"/>
    <n v="450"/>
    <x v="0"/>
    <n v="1710"/>
    <n v="1230"/>
    <x v="0"/>
    <x v="1"/>
    <x v="8"/>
    <n v="0.7192982456140351"/>
  </r>
  <r>
    <s v="ORD-2025-1369"/>
    <s v="2025-09-26"/>
    <x v="0"/>
    <x v="6"/>
    <n v="2"/>
    <n v="150"/>
    <x v="1"/>
    <n v="300"/>
    <n v="220"/>
    <x v="3"/>
    <x v="1"/>
    <x v="8"/>
    <n v="0.73333333333333328"/>
  </r>
  <r>
    <s v="ORD-2025-1370"/>
    <s v="2025-09-27"/>
    <x v="1"/>
    <x v="1"/>
    <n v="5"/>
    <n v="40"/>
    <x v="1"/>
    <n v="200"/>
    <n v="125"/>
    <x v="1"/>
    <x v="0"/>
    <x v="8"/>
    <n v="0.625"/>
  </r>
  <r>
    <s v="ORD-2025-1371"/>
    <s v="2025-09-27"/>
    <x v="2"/>
    <x v="8"/>
    <n v="7"/>
    <n v="20"/>
    <x v="4"/>
    <n v="112"/>
    <n v="63"/>
    <x v="3"/>
    <x v="2"/>
    <x v="8"/>
    <n v="0.5625"/>
  </r>
  <r>
    <s v="ORD-2025-1372"/>
    <s v="2025-09-28"/>
    <x v="2"/>
    <x v="4"/>
    <n v="2"/>
    <n v="25"/>
    <x v="1"/>
    <n v="50"/>
    <n v="34"/>
    <x v="2"/>
    <x v="1"/>
    <x v="8"/>
    <n v="0.68"/>
  </r>
  <r>
    <s v="ORD-2025-1373"/>
    <s v="2025-09-29"/>
    <x v="1"/>
    <x v="3"/>
    <n v="5"/>
    <n v="80"/>
    <x v="0"/>
    <n v="380"/>
    <n v="230"/>
    <x v="3"/>
    <x v="1"/>
    <x v="8"/>
    <n v="0.60526315789473684"/>
  </r>
  <r>
    <s v="ORD-2025-1374"/>
    <s v="2025-09-30"/>
    <x v="2"/>
    <x v="4"/>
    <n v="3"/>
    <n v="25"/>
    <x v="1"/>
    <n v="75"/>
    <n v="51"/>
    <x v="2"/>
    <x v="2"/>
    <x v="8"/>
    <n v="0.68"/>
  </r>
  <r>
    <s v="ORD-2025-1375"/>
    <s v="2025-09-30"/>
    <x v="0"/>
    <x v="6"/>
    <n v="9"/>
    <n v="150"/>
    <x v="1"/>
    <n v="1350"/>
    <n v="990"/>
    <x v="2"/>
    <x v="1"/>
    <x v="8"/>
    <n v="0.73333333333333328"/>
  </r>
  <r>
    <s v="ORD-2025-1376"/>
    <s v="2025-10-01"/>
    <x v="0"/>
    <x v="7"/>
    <n v="6"/>
    <n v="450"/>
    <x v="3"/>
    <n v="2430"/>
    <n v="1710"/>
    <x v="3"/>
    <x v="0"/>
    <x v="9"/>
    <n v="0.70370370370370372"/>
  </r>
  <r>
    <s v="ORD-2025-1377"/>
    <s v="2025-10-02"/>
    <x v="2"/>
    <x v="2"/>
    <n v="1"/>
    <n v="10"/>
    <x v="1"/>
    <n v="10"/>
    <n v="6"/>
    <x v="0"/>
    <x v="0"/>
    <x v="9"/>
    <n v="0.6"/>
  </r>
  <r>
    <s v="ORD-2025-1378"/>
    <s v="2025-10-03"/>
    <x v="0"/>
    <x v="7"/>
    <n v="9"/>
    <n v="450"/>
    <x v="1"/>
    <n v="4050"/>
    <n v="2970"/>
    <x v="1"/>
    <x v="1"/>
    <x v="9"/>
    <n v="0.73333333333333328"/>
  </r>
  <r>
    <s v="ORD-2025-1379"/>
    <s v="2025-10-03"/>
    <x v="2"/>
    <x v="10"/>
    <n v="3"/>
    <n v="8"/>
    <x v="1"/>
    <n v="24"/>
    <n v="15"/>
    <x v="1"/>
    <x v="0"/>
    <x v="9"/>
    <n v="0.625"/>
  </r>
  <r>
    <s v="ORD-2025-1380"/>
    <s v="2025-10-04"/>
    <x v="1"/>
    <x v="14"/>
    <n v="7"/>
    <n v="350"/>
    <x v="1"/>
    <n v="2450"/>
    <n v="1820"/>
    <x v="1"/>
    <x v="2"/>
    <x v="9"/>
    <n v="0.74285714285714288"/>
  </r>
  <r>
    <s v="ORD-2025-1381"/>
    <s v="2025-10-05"/>
    <x v="1"/>
    <x v="3"/>
    <n v="4"/>
    <n v="80"/>
    <x v="2"/>
    <n v="272"/>
    <n v="152"/>
    <x v="0"/>
    <x v="0"/>
    <x v="9"/>
    <n v="0.55882352941176472"/>
  </r>
  <r>
    <s v="ORD-2025-1382"/>
    <s v="2025-10-05"/>
    <x v="1"/>
    <x v="13"/>
    <n v="5"/>
    <n v="1200"/>
    <x v="1"/>
    <n v="6000"/>
    <n v="4500"/>
    <x v="1"/>
    <x v="2"/>
    <x v="9"/>
    <n v="0.75"/>
  </r>
  <r>
    <s v="ORD-2025-1383"/>
    <s v="2025-10-06"/>
    <x v="1"/>
    <x v="13"/>
    <n v="3"/>
    <n v="1200"/>
    <x v="1"/>
    <n v="3600"/>
    <n v="2700"/>
    <x v="2"/>
    <x v="1"/>
    <x v="9"/>
    <n v="0.75"/>
  </r>
  <r>
    <s v="ORD-2025-1384"/>
    <s v="2025-10-07"/>
    <x v="2"/>
    <x v="10"/>
    <n v="7"/>
    <n v="8"/>
    <x v="1"/>
    <n v="56"/>
    <n v="35"/>
    <x v="3"/>
    <x v="0"/>
    <x v="9"/>
    <n v="0.625"/>
  </r>
  <r>
    <s v="ORD-2025-1385"/>
    <s v="2025-10-08"/>
    <x v="1"/>
    <x v="1"/>
    <n v="8"/>
    <n v="40"/>
    <x v="1"/>
    <n v="320"/>
    <n v="200"/>
    <x v="3"/>
    <x v="2"/>
    <x v="9"/>
    <n v="0.625"/>
  </r>
  <r>
    <s v="ORD-2025-1386"/>
    <s v="2025-10-08"/>
    <x v="0"/>
    <x v="9"/>
    <n v="9"/>
    <n v="250"/>
    <x v="1"/>
    <n v="2250"/>
    <n v="1620"/>
    <x v="0"/>
    <x v="2"/>
    <x v="9"/>
    <n v="0.72"/>
  </r>
  <r>
    <s v="ORD-2025-1387"/>
    <s v="2025-10-09"/>
    <x v="1"/>
    <x v="13"/>
    <n v="3"/>
    <n v="1200"/>
    <x v="4"/>
    <n v="2880"/>
    <n v="1980"/>
    <x v="2"/>
    <x v="1"/>
    <x v="9"/>
    <n v="0.6875"/>
  </r>
  <r>
    <s v="ORD-2025-1388"/>
    <s v="2025-10-10"/>
    <x v="2"/>
    <x v="4"/>
    <n v="7"/>
    <n v="25"/>
    <x v="0"/>
    <n v="166.25"/>
    <n v="110.25"/>
    <x v="1"/>
    <x v="1"/>
    <x v="9"/>
    <n v="0.66315789473684206"/>
  </r>
  <r>
    <s v="ORD-2025-1389"/>
    <s v="2025-10-11"/>
    <x v="0"/>
    <x v="6"/>
    <n v="4"/>
    <n v="150"/>
    <x v="1"/>
    <n v="600"/>
    <n v="440"/>
    <x v="1"/>
    <x v="1"/>
    <x v="9"/>
    <n v="0.73333333333333328"/>
  </r>
  <r>
    <s v="ORD-2025-1390"/>
    <s v="2025-10-11"/>
    <x v="1"/>
    <x v="13"/>
    <n v="1"/>
    <n v="1200"/>
    <x v="1"/>
    <n v="1200"/>
    <n v="900"/>
    <x v="3"/>
    <x v="1"/>
    <x v="9"/>
    <n v="0.75"/>
  </r>
  <r>
    <s v="ORD-2025-1391"/>
    <s v="2025-10-12"/>
    <x v="1"/>
    <x v="3"/>
    <n v="9"/>
    <n v="80"/>
    <x v="1"/>
    <n v="720"/>
    <n v="450"/>
    <x v="2"/>
    <x v="2"/>
    <x v="9"/>
    <n v="0.625"/>
  </r>
  <r>
    <s v="ORD-2025-1392"/>
    <s v="2025-10-13"/>
    <x v="2"/>
    <x v="5"/>
    <n v="8"/>
    <n v="15"/>
    <x v="1"/>
    <n v="120"/>
    <n v="80"/>
    <x v="0"/>
    <x v="0"/>
    <x v="9"/>
    <n v="0.66666666666666663"/>
  </r>
  <r>
    <s v="ORD-2025-1393"/>
    <s v="2025-10-13"/>
    <x v="2"/>
    <x v="8"/>
    <n v="3"/>
    <n v="20"/>
    <x v="1"/>
    <n v="60"/>
    <n v="39"/>
    <x v="1"/>
    <x v="1"/>
    <x v="9"/>
    <n v="0.65"/>
  </r>
  <r>
    <s v="ORD-2025-1394"/>
    <s v="2025-10-14"/>
    <x v="2"/>
    <x v="8"/>
    <n v="5"/>
    <n v="20"/>
    <x v="0"/>
    <n v="95"/>
    <n v="60"/>
    <x v="0"/>
    <x v="0"/>
    <x v="9"/>
    <n v="0.63157894736842102"/>
  </r>
  <r>
    <s v="ORD-2025-1395"/>
    <s v="2025-10-15"/>
    <x v="2"/>
    <x v="8"/>
    <n v="3"/>
    <n v="20"/>
    <x v="3"/>
    <n v="54"/>
    <n v="33"/>
    <x v="2"/>
    <x v="1"/>
    <x v="9"/>
    <n v="0.61111111111111116"/>
  </r>
  <r>
    <s v="ORD-2025-1396"/>
    <s v="2025-10-16"/>
    <x v="0"/>
    <x v="12"/>
    <n v="6"/>
    <n v="35"/>
    <x v="1"/>
    <n v="210"/>
    <n v="138"/>
    <x v="1"/>
    <x v="1"/>
    <x v="9"/>
    <n v="0.65714285714285714"/>
  </r>
  <r>
    <s v="ORD-2025-1397"/>
    <s v="2025-10-16"/>
    <x v="2"/>
    <x v="4"/>
    <n v="6"/>
    <n v="25"/>
    <x v="0"/>
    <n v="142.5"/>
    <n v="94.5"/>
    <x v="1"/>
    <x v="1"/>
    <x v="9"/>
    <n v="0.66315789473684206"/>
  </r>
  <r>
    <s v="ORD-2025-1398"/>
    <s v="2025-10-17"/>
    <x v="2"/>
    <x v="8"/>
    <n v="7"/>
    <n v="20"/>
    <x v="0"/>
    <n v="133"/>
    <n v="84"/>
    <x v="0"/>
    <x v="0"/>
    <x v="9"/>
    <n v="0.63157894736842102"/>
  </r>
  <r>
    <s v="ORD-2025-1399"/>
    <s v="2025-10-18"/>
    <x v="0"/>
    <x v="12"/>
    <n v="2"/>
    <n v="35"/>
    <x v="1"/>
    <n v="70"/>
    <n v="46"/>
    <x v="3"/>
    <x v="2"/>
    <x v="9"/>
    <n v="0.65714285714285714"/>
  </r>
  <r>
    <s v="ORD-2025-1400"/>
    <s v="2025-10-19"/>
    <x v="1"/>
    <x v="13"/>
    <n v="2"/>
    <n v="1200"/>
    <x v="1"/>
    <n v="2400"/>
    <n v="1800"/>
    <x v="3"/>
    <x v="0"/>
    <x v="9"/>
    <n v="0.75"/>
  </r>
  <r>
    <s v="ORD-2025-1401"/>
    <s v="2025-10-19"/>
    <x v="1"/>
    <x v="14"/>
    <n v="1"/>
    <n v="350"/>
    <x v="1"/>
    <n v="350"/>
    <n v="260"/>
    <x v="3"/>
    <x v="1"/>
    <x v="9"/>
    <n v="0.74285714285714288"/>
  </r>
  <r>
    <s v="ORD-2025-1402"/>
    <s v="2025-10-20"/>
    <x v="0"/>
    <x v="0"/>
    <n v="4"/>
    <n v="110"/>
    <x v="1"/>
    <n v="440"/>
    <n v="320"/>
    <x v="3"/>
    <x v="0"/>
    <x v="9"/>
    <n v="0.72727272727272729"/>
  </r>
  <r>
    <s v="ORD-2025-1403"/>
    <s v="2025-10-21"/>
    <x v="1"/>
    <x v="3"/>
    <n v="4"/>
    <n v="80"/>
    <x v="1"/>
    <n v="320"/>
    <n v="200"/>
    <x v="3"/>
    <x v="2"/>
    <x v="9"/>
    <n v="0.625"/>
  </r>
  <r>
    <s v="ORD-2025-1404"/>
    <s v="2025-10-21"/>
    <x v="0"/>
    <x v="7"/>
    <n v="6"/>
    <n v="450"/>
    <x v="2"/>
    <n v="2295"/>
    <n v="1575"/>
    <x v="3"/>
    <x v="0"/>
    <x v="9"/>
    <n v="0.68627450980392157"/>
  </r>
  <r>
    <s v="ORD-2025-1405"/>
    <s v="2025-10-22"/>
    <x v="0"/>
    <x v="0"/>
    <n v="3"/>
    <n v="110"/>
    <x v="2"/>
    <n v="280.5"/>
    <n v="190.5"/>
    <x v="1"/>
    <x v="0"/>
    <x v="9"/>
    <n v="0.67914438502673802"/>
  </r>
  <r>
    <s v="ORD-2025-1406"/>
    <s v="2025-10-23"/>
    <x v="2"/>
    <x v="10"/>
    <n v="1"/>
    <n v="8"/>
    <x v="1"/>
    <n v="8"/>
    <n v="5"/>
    <x v="1"/>
    <x v="2"/>
    <x v="9"/>
    <n v="0.625"/>
  </r>
  <r>
    <s v="ORD-2025-1407"/>
    <s v="2025-10-24"/>
    <x v="2"/>
    <x v="4"/>
    <n v="1"/>
    <n v="25"/>
    <x v="3"/>
    <n v="22.5"/>
    <n v="14.5"/>
    <x v="2"/>
    <x v="2"/>
    <x v="9"/>
    <n v="0.64444444444444449"/>
  </r>
  <r>
    <s v="ORD-2025-1408"/>
    <s v="2025-10-24"/>
    <x v="1"/>
    <x v="3"/>
    <n v="7"/>
    <n v="80"/>
    <x v="3"/>
    <n v="504"/>
    <n v="294"/>
    <x v="2"/>
    <x v="0"/>
    <x v="9"/>
    <n v="0.58333333333333337"/>
  </r>
  <r>
    <s v="ORD-2025-1409"/>
    <s v="2025-10-25"/>
    <x v="2"/>
    <x v="2"/>
    <n v="2"/>
    <n v="10"/>
    <x v="0"/>
    <n v="19"/>
    <n v="11"/>
    <x v="2"/>
    <x v="1"/>
    <x v="9"/>
    <n v="0.57894736842105265"/>
  </r>
  <r>
    <s v="ORD-2025-1410"/>
    <s v="2025-10-26"/>
    <x v="1"/>
    <x v="14"/>
    <n v="8"/>
    <n v="350"/>
    <x v="3"/>
    <n v="2520"/>
    <n v="1800"/>
    <x v="0"/>
    <x v="0"/>
    <x v="9"/>
    <n v="0.7142857142857143"/>
  </r>
  <r>
    <s v="ORD-2025-1411"/>
    <s v="2025-10-27"/>
    <x v="0"/>
    <x v="7"/>
    <n v="9"/>
    <n v="450"/>
    <x v="0"/>
    <n v="3847.5"/>
    <n v="2767.5"/>
    <x v="2"/>
    <x v="1"/>
    <x v="9"/>
    <n v="0.7192982456140351"/>
  </r>
  <r>
    <s v="ORD-2025-1412"/>
    <s v="2025-10-27"/>
    <x v="0"/>
    <x v="6"/>
    <n v="6"/>
    <n v="150"/>
    <x v="1"/>
    <n v="900"/>
    <n v="660"/>
    <x v="0"/>
    <x v="0"/>
    <x v="9"/>
    <n v="0.73333333333333328"/>
  </r>
  <r>
    <s v="ORD-2025-1413"/>
    <s v="2025-10-28"/>
    <x v="0"/>
    <x v="0"/>
    <n v="2"/>
    <n v="110"/>
    <x v="0"/>
    <n v="209"/>
    <n v="149"/>
    <x v="2"/>
    <x v="2"/>
    <x v="9"/>
    <n v="0.71291866028708128"/>
  </r>
  <r>
    <s v="ORD-2025-1414"/>
    <s v="2025-10-29"/>
    <x v="2"/>
    <x v="5"/>
    <n v="3"/>
    <n v="15"/>
    <x v="1"/>
    <n v="45"/>
    <n v="30"/>
    <x v="0"/>
    <x v="0"/>
    <x v="9"/>
    <n v="0.66666666666666663"/>
  </r>
  <r>
    <s v="ORD-2025-1415"/>
    <s v="2025-10-29"/>
    <x v="2"/>
    <x v="5"/>
    <n v="9"/>
    <n v="15"/>
    <x v="3"/>
    <n v="121.5"/>
    <n v="76.5"/>
    <x v="1"/>
    <x v="2"/>
    <x v="9"/>
    <n v="0.62962962962962965"/>
  </r>
  <r>
    <s v="ORD-2025-1416"/>
    <s v="2025-10-30"/>
    <x v="2"/>
    <x v="2"/>
    <n v="4"/>
    <n v="10"/>
    <x v="0"/>
    <n v="38"/>
    <n v="22"/>
    <x v="0"/>
    <x v="0"/>
    <x v="9"/>
    <n v="0.57894736842105265"/>
  </r>
  <r>
    <s v="ORD-2025-1417"/>
    <s v="2025-10-31"/>
    <x v="2"/>
    <x v="8"/>
    <n v="2"/>
    <n v="20"/>
    <x v="1"/>
    <n v="40"/>
    <n v="26"/>
    <x v="3"/>
    <x v="1"/>
    <x v="9"/>
    <n v="0.65"/>
  </r>
  <r>
    <s v="ORD-2025-1418"/>
    <s v="2025-11-01"/>
    <x v="2"/>
    <x v="10"/>
    <n v="9"/>
    <n v="8"/>
    <x v="1"/>
    <n v="72"/>
    <n v="45"/>
    <x v="3"/>
    <x v="1"/>
    <x v="10"/>
    <n v="0.625"/>
  </r>
  <r>
    <s v="ORD-2025-1419"/>
    <s v="2025-11-01"/>
    <x v="0"/>
    <x v="12"/>
    <n v="5"/>
    <n v="35"/>
    <x v="0"/>
    <n v="166.25"/>
    <n v="106.25"/>
    <x v="0"/>
    <x v="1"/>
    <x v="10"/>
    <n v="0.63909774436090228"/>
  </r>
  <r>
    <s v="ORD-2025-1420"/>
    <s v="2025-11-02"/>
    <x v="2"/>
    <x v="10"/>
    <n v="2"/>
    <n v="8"/>
    <x v="0"/>
    <n v="15.2"/>
    <n v="9.1999999999999993"/>
    <x v="3"/>
    <x v="0"/>
    <x v="10"/>
    <n v="0.60526315789473684"/>
  </r>
  <r>
    <s v="ORD-2025-1421"/>
    <s v="2025-11-03"/>
    <x v="0"/>
    <x v="9"/>
    <n v="1"/>
    <n v="250"/>
    <x v="0"/>
    <n v="237.5"/>
    <n v="167.5"/>
    <x v="1"/>
    <x v="0"/>
    <x v="10"/>
    <n v="0.70526315789473681"/>
  </r>
  <r>
    <s v="ORD-2025-1422"/>
    <s v="2025-11-04"/>
    <x v="1"/>
    <x v="14"/>
    <n v="6"/>
    <n v="350"/>
    <x v="1"/>
    <n v="2100"/>
    <n v="1560"/>
    <x v="1"/>
    <x v="0"/>
    <x v="10"/>
    <n v="0.74285714285714288"/>
  </r>
  <r>
    <s v="ORD-2025-1423"/>
    <s v="2025-11-04"/>
    <x v="0"/>
    <x v="6"/>
    <n v="3"/>
    <n v="150"/>
    <x v="4"/>
    <n v="360"/>
    <n v="240"/>
    <x v="3"/>
    <x v="0"/>
    <x v="10"/>
    <n v="0.66666666666666663"/>
  </r>
  <r>
    <s v="ORD-2025-1424"/>
    <s v="2025-11-05"/>
    <x v="1"/>
    <x v="3"/>
    <n v="3"/>
    <n v="80"/>
    <x v="1"/>
    <n v="240"/>
    <n v="150"/>
    <x v="1"/>
    <x v="1"/>
    <x v="10"/>
    <n v="0.625"/>
  </r>
  <r>
    <s v="ORD-2025-1425"/>
    <s v="2025-11-06"/>
    <x v="1"/>
    <x v="1"/>
    <n v="5"/>
    <n v="40"/>
    <x v="4"/>
    <n v="160"/>
    <n v="85"/>
    <x v="3"/>
    <x v="2"/>
    <x v="10"/>
    <n v="0.53125"/>
  </r>
  <r>
    <s v="ORD-2025-1426"/>
    <s v="2025-11-07"/>
    <x v="0"/>
    <x v="12"/>
    <n v="9"/>
    <n v="35"/>
    <x v="4"/>
    <n v="252"/>
    <n v="144"/>
    <x v="0"/>
    <x v="2"/>
    <x v="10"/>
    <n v="0.5714285714285714"/>
  </r>
  <r>
    <s v="ORD-2025-1427"/>
    <s v="2025-11-07"/>
    <x v="0"/>
    <x v="0"/>
    <n v="6"/>
    <n v="110"/>
    <x v="0"/>
    <n v="627"/>
    <n v="447"/>
    <x v="0"/>
    <x v="1"/>
    <x v="10"/>
    <n v="0.71291866028708128"/>
  </r>
  <r>
    <s v="ORD-2025-1428"/>
    <s v="2025-11-08"/>
    <x v="0"/>
    <x v="0"/>
    <n v="7"/>
    <n v="110"/>
    <x v="1"/>
    <n v="770"/>
    <n v="560"/>
    <x v="3"/>
    <x v="0"/>
    <x v="10"/>
    <n v="0.72727272727272729"/>
  </r>
  <r>
    <s v="ORD-2025-1429"/>
    <s v="2025-11-09"/>
    <x v="1"/>
    <x v="13"/>
    <n v="5"/>
    <n v="1200"/>
    <x v="1"/>
    <n v="6000"/>
    <n v="4500"/>
    <x v="0"/>
    <x v="2"/>
    <x v="10"/>
    <n v="0.75"/>
  </r>
  <r>
    <s v="ORD-2025-1430"/>
    <s v="2025-11-09"/>
    <x v="0"/>
    <x v="6"/>
    <n v="1"/>
    <n v="150"/>
    <x v="0"/>
    <n v="142.5"/>
    <n v="102.5"/>
    <x v="0"/>
    <x v="1"/>
    <x v="10"/>
    <n v="0.7192982456140351"/>
  </r>
  <r>
    <s v="ORD-2025-1431"/>
    <s v="2025-11-10"/>
    <x v="0"/>
    <x v="6"/>
    <n v="4"/>
    <n v="150"/>
    <x v="1"/>
    <n v="600"/>
    <n v="440"/>
    <x v="2"/>
    <x v="2"/>
    <x v="10"/>
    <n v="0.73333333333333328"/>
  </r>
  <r>
    <s v="ORD-2025-1432"/>
    <s v="2025-11-11"/>
    <x v="0"/>
    <x v="9"/>
    <n v="8"/>
    <n v="250"/>
    <x v="0"/>
    <n v="1900"/>
    <n v="1340"/>
    <x v="0"/>
    <x v="0"/>
    <x v="10"/>
    <n v="0.70526315789473681"/>
  </r>
  <r>
    <s v="ORD-2025-1433"/>
    <s v="2025-11-12"/>
    <x v="1"/>
    <x v="13"/>
    <n v="5"/>
    <n v="1200"/>
    <x v="0"/>
    <n v="5700"/>
    <n v="4200"/>
    <x v="0"/>
    <x v="2"/>
    <x v="10"/>
    <n v="0.73684210526315785"/>
  </r>
  <r>
    <s v="ORD-2025-1434"/>
    <s v="2025-11-12"/>
    <x v="2"/>
    <x v="10"/>
    <n v="6"/>
    <n v="8"/>
    <x v="0"/>
    <n v="45.6"/>
    <n v="27.6"/>
    <x v="2"/>
    <x v="0"/>
    <x v="10"/>
    <n v="0.60526315789473684"/>
  </r>
  <r>
    <s v="ORD-2025-1435"/>
    <s v="2025-11-13"/>
    <x v="2"/>
    <x v="8"/>
    <n v="5"/>
    <n v="20"/>
    <x v="3"/>
    <n v="90"/>
    <n v="55"/>
    <x v="0"/>
    <x v="2"/>
    <x v="10"/>
    <n v="0.61111111111111116"/>
  </r>
  <r>
    <s v="ORD-2025-1436"/>
    <s v="2025-11-14"/>
    <x v="2"/>
    <x v="5"/>
    <n v="3"/>
    <n v="15"/>
    <x v="1"/>
    <n v="45"/>
    <n v="30"/>
    <x v="2"/>
    <x v="1"/>
    <x v="10"/>
    <n v="0.66666666666666663"/>
  </r>
  <r>
    <s v="ORD-2025-1437"/>
    <s v="2025-11-15"/>
    <x v="2"/>
    <x v="2"/>
    <n v="4"/>
    <n v="10"/>
    <x v="1"/>
    <n v="40"/>
    <n v="24"/>
    <x v="0"/>
    <x v="1"/>
    <x v="10"/>
    <n v="0.6"/>
  </r>
  <r>
    <s v="ORD-2025-1438"/>
    <s v="2025-11-15"/>
    <x v="0"/>
    <x v="6"/>
    <n v="9"/>
    <n v="150"/>
    <x v="1"/>
    <n v="1350"/>
    <n v="990"/>
    <x v="1"/>
    <x v="2"/>
    <x v="10"/>
    <n v="0.73333333333333328"/>
  </r>
  <r>
    <s v="ORD-2025-1439"/>
    <s v="2025-11-16"/>
    <x v="0"/>
    <x v="12"/>
    <n v="3"/>
    <n v="35"/>
    <x v="0"/>
    <n v="99.75"/>
    <n v="63.75"/>
    <x v="1"/>
    <x v="2"/>
    <x v="10"/>
    <n v="0.63909774436090228"/>
  </r>
  <r>
    <s v="ORD-2025-1440"/>
    <s v="2025-11-17"/>
    <x v="0"/>
    <x v="9"/>
    <n v="8"/>
    <n v="250"/>
    <x v="2"/>
    <n v="1700"/>
    <n v="1140"/>
    <x v="3"/>
    <x v="2"/>
    <x v="10"/>
    <n v="0.6705882352941176"/>
  </r>
  <r>
    <s v="ORD-2025-1441"/>
    <s v="2025-11-17"/>
    <x v="2"/>
    <x v="10"/>
    <n v="6"/>
    <n v="8"/>
    <x v="1"/>
    <n v="48"/>
    <n v="30"/>
    <x v="0"/>
    <x v="2"/>
    <x v="10"/>
    <n v="0.625"/>
  </r>
  <r>
    <s v="ORD-2025-1442"/>
    <s v="2025-11-18"/>
    <x v="1"/>
    <x v="11"/>
    <n v="6"/>
    <n v="25"/>
    <x v="0"/>
    <n v="142.5"/>
    <n v="82.5"/>
    <x v="1"/>
    <x v="1"/>
    <x v="10"/>
    <n v="0.57894736842105265"/>
  </r>
  <r>
    <s v="ORD-2025-1443"/>
    <s v="2025-11-19"/>
    <x v="1"/>
    <x v="1"/>
    <n v="2"/>
    <n v="40"/>
    <x v="1"/>
    <n v="80"/>
    <n v="50"/>
    <x v="1"/>
    <x v="1"/>
    <x v="10"/>
    <n v="0.625"/>
  </r>
  <r>
    <s v="ORD-2025-1444"/>
    <s v="2025-11-20"/>
    <x v="2"/>
    <x v="10"/>
    <n v="3"/>
    <n v="8"/>
    <x v="1"/>
    <n v="24"/>
    <n v="15"/>
    <x v="2"/>
    <x v="0"/>
    <x v="10"/>
    <n v="0.625"/>
  </r>
  <r>
    <s v="ORD-2025-1445"/>
    <s v="2025-11-20"/>
    <x v="1"/>
    <x v="3"/>
    <n v="1"/>
    <n v="80"/>
    <x v="1"/>
    <n v="80"/>
    <n v="50"/>
    <x v="1"/>
    <x v="0"/>
    <x v="10"/>
    <n v="0.625"/>
  </r>
  <r>
    <s v="ORD-2025-1446"/>
    <s v="2025-11-21"/>
    <x v="1"/>
    <x v="1"/>
    <n v="9"/>
    <n v="40"/>
    <x v="3"/>
    <n v="324"/>
    <n v="189"/>
    <x v="2"/>
    <x v="1"/>
    <x v="10"/>
    <n v="0.58333333333333337"/>
  </r>
  <r>
    <s v="ORD-2025-1447"/>
    <s v="2025-11-22"/>
    <x v="1"/>
    <x v="13"/>
    <n v="2"/>
    <n v="1200"/>
    <x v="1"/>
    <n v="2400"/>
    <n v="1800"/>
    <x v="3"/>
    <x v="1"/>
    <x v="10"/>
    <n v="0.75"/>
  </r>
  <r>
    <s v="ORD-2025-1448"/>
    <s v="2025-11-23"/>
    <x v="1"/>
    <x v="3"/>
    <n v="8"/>
    <n v="80"/>
    <x v="1"/>
    <n v="640"/>
    <n v="400"/>
    <x v="2"/>
    <x v="2"/>
    <x v="10"/>
    <n v="0.625"/>
  </r>
  <r>
    <s v="ORD-2025-1449"/>
    <s v="2025-11-23"/>
    <x v="1"/>
    <x v="1"/>
    <n v="3"/>
    <n v="40"/>
    <x v="0"/>
    <n v="114"/>
    <n v="69"/>
    <x v="0"/>
    <x v="0"/>
    <x v="10"/>
    <n v="0.60526315789473684"/>
  </r>
  <r>
    <s v="ORD-2025-1450"/>
    <s v="2025-11-24"/>
    <x v="0"/>
    <x v="7"/>
    <n v="6"/>
    <n v="450"/>
    <x v="1"/>
    <n v="2700"/>
    <n v="1980"/>
    <x v="0"/>
    <x v="1"/>
    <x v="10"/>
    <n v="0.73333333333333328"/>
  </r>
  <r>
    <s v="ORD-2025-1451"/>
    <s v="2025-11-25"/>
    <x v="1"/>
    <x v="14"/>
    <n v="2"/>
    <n v="350"/>
    <x v="1"/>
    <n v="700"/>
    <n v="520"/>
    <x v="2"/>
    <x v="2"/>
    <x v="10"/>
    <n v="0.74285714285714288"/>
  </r>
  <r>
    <s v="ORD-2025-1452"/>
    <s v="2025-11-25"/>
    <x v="0"/>
    <x v="6"/>
    <n v="6"/>
    <n v="150"/>
    <x v="1"/>
    <n v="900"/>
    <n v="660"/>
    <x v="3"/>
    <x v="0"/>
    <x v="10"/>
    <n v="0.73333333333333328"/>
  </r>
  <r>
    <s v="ORD-2025-1453"/>
    <s v="2025-11-26"/>
    <x v="0"/>
    <x v="0"/>
    <n v="5"/>
    <n v="110"/>
    <x v="1"/>
    <n v="550"/>
    <n v="400"/>
    <x v="3"/>
    <x v="1"/>
    <x v="10"/>
    <n v="0.72727272727272729"/>
  </r>
  <r>
    <s v="ORD-2025-1454"/>
    <s v="2025-11-27"/>
    <x v="1"/>
    <x v="11"/>
    <n v="4"/>
    <n v="25"/>
    <x v="0"/>
    <n v="95"/>
    <n v="55"/>
    <x v="0"/>
    <x v="1"/>
    <x v="10"/>
    <n v="0.57894736842105265"/>
  </r>
  <r>
    <s v="ORD-2025-1455"/>
    <s v="2025-11-28"/>
    <x v="1"/>
    <x v="14"/>
    <n v="4"/>
    <n v="350"/>
    <x v="1"/>
    <n v="1400"/>
    <n v="1040"/>
    <x v="0"/>
    <x v="1"/>
    <x v="10"/>
    <n v="0.74285714285714288"/>
  </r>
  <r>
    <s v="ORD-2025-1456"/>
    <s v="2025-11-28"/>
    <x v="1"/>
    <x v="3"/>
    <n v="7"/>
    <n v="80"/>
    <x v="3"/>
    <n v="504"/>
    <n v="294"/>
    <x v="3"/>
    <x v="0"/>
    <x v="10"/>
    <n v="0.58333333333333337"/>
  </r>
  <r>
    <s v="ORD-2025-1457"/>
    <s v="2025-11-29"/>
    <x v="2"/>
    <x v="2"/>
    <n v="9"/>
    <n v="10"/>
    <x v="3"/>
    <n v="81"/>
    <n v="45"/>
    <x v="3"/>
    <x v="0"/>
    <x v="10"/>
    <n v="0.55555555555555558"/>
  </r>
  <r>
    <s v="ORD-2025-1458"/>
    <s v="2025-11-30"/>
    <x v="0"/>
    <x v="7"/>
    <n v="2"/>
    <n v="450"/>
    <x v="1"/>
    <n v="900"/>
    <n v="660"/>
    <x v="1"/>
    <x v="0"/>
    <x v="10"/>
    <n v="0.73333333333333328"/>
  </r>
  <r>
    <s v="ORD-2025-1459"/>
    <s v="2025-12-01"/>
    <x v="2"/>
    <x v="5"/>
    <n v="6"/>
    <n v="15"/>
    <x v="1"/>
    <n v="90"/>
    <n v="60"/>
    <x v="1"/>
    <x v="0"/>
    <x v="11"/>
    <n v="0.66666666666666663"/>
  </r>
  <r>
    <s v="ORD-2025-1460"/>
    <s v="2025-12-01"/>
    <x v="1"/>
    <x v="13"/>
    <n v="3"/>
    <n v="1200"/>
    <x v="0"/>
    <n v="3420"/>
    <n v="2520"/>
    <x v="2"/>
    <x v="1"/>
    <x v="11"/>
    <n v="0.73684210526315785"/>
  </r>
  <r>
    <s v="ORD-2025-1461"/>
    <s v="2025-12-02"/>
    <x v="2"/>
    <x v="10"/>
    <n v="3"/>
    <n v="8"/>
    <x v="2"/>
    <n v="20.399999999999999"/>
    <n v="11.4"/>
    <x v="3"/>
    <x v="2"/>
    <x v="11"/>
    <n v="0.55882352941176472"/>
  </r>
  <r>
    <s v="ORD-2025-1462"/>
    <s v="2025-12-03"/>
    <x v="1"/>
    <x v="11"/>
    <n v="7"/>
    <n v="25"/>
    <x v="1"/>
    <n v="175"/>
    <n v="105"/>
    <x v="3"/>
    <x v="1"/>
    <x v="11"/>
    <n v="0.6"/>
  </r>
  <r>
    <s v="ORD-2025-1463"/>
    <s v="2025-12-04"/>
    <x v="2"/>
    <x v="2"/>
    <n v="7"/>
    <n v="10"/>
    <x v="1"/>
    <n v="70"/>
    <n v="42"/>
    <x v="2"/>
    <x v="0"/>
    <x v="11"/>
    <n v="0.6"/>
  </r>
  <r>
    <s v="ORD-2025-1464"/>
    <s v="2025-12-04"/>
    <x v="1"/>
    <x v="3"/>
    <n v="1"/>
    <n v="80"/>
    <x v="0"/>
    <n v="76"/>
    <n v="46"/>
    <x v="2"/>
    <x v="0"/>
    <x v="11"/>
    <n v="0.60526315789473684"/>
  </r>
  <r>
    <s v="ORD-2025-1465"/>
    <s v="2025-12-05"/>
    <x v="0"/>
    <x v="6"/>
    <n v="5"/>
    <n v="150"/>
    <x v="1"/>
    <n v="750"/>
    <n v="550"/>
    <x v="3"/>
    <x v="2"/>
    <x v="11"/>
    <n v="0.73333333333333328"/>
  </r>
  <r>
    <s v="ORD-2025-1466"/>
    <s v="2025-12-06"/>
    <x v="0"/>
    <x v="9"/>
    <n v="3"/>
    <n v="250"/>
    <x v="1"/>
    <n v="750"/>
    <n v="540"/>
    <x v="0"/>
    <x v="0"/>
    <x v="11"/>
    <n v="0.72"/>
  </r>
  <r>
    <s v="ORD-2025-1467"/>
    <s v="2025-12-06"/>
    <x v="0"/>
    <x v="12"/>
    <n v="7"/>
    <n v="35"/>
    <x v="3"/>
    <n v="220.5"/>
    <n v="136.5"/>
    <x v="3"/>
    <x v="2"/>
    <x v="11"/>
    <n v="0.61904761904761907"/>
  </r>
  <r>
    <s v="ORD-2025-1468"/>
    <s v="2025-12-07"/>
    <x v="2"/>
    <x v="5"/>
    <n v="9"/>
    <n v="15"/>
    <x v="2"/>
    <n v="114.75"/>
    <n v="69.75"/>
    <x v="1"/>
    <x v="1"/>
    <x v="11"/>
    <n v="0.60784313725490191"/>
  </r>
  <r>
    <s v="ORD-2025-1469"/>
    <s v="2025-12-08"/>
    <x v="2"/>
    <x v="4"/>
    <n v="2"/>
    <n v="25"/>
    <x v="1"/>
    <n v="50"/>
    <n v="34"/>
    <x v="2"/>
    <x v="0"/>
    <x v="11"/>
    <n v="0.68"/>
  </r>
  <r>
    <s v="ORD-2025-1470"/>
    <s v="2025-12-09"/>
    <x v="2"/>
    <x v="8"/>
    <n v="5"/>
    <n v="20"/>
    <x v="0"/>
    <n v="95"/>
    <n v="60"/>
    <x v="3"/>
    <x v="1"/>
    <x v="11"/>
    <n v="0.63157894736842102"/>
  </r>
  <r>
    <s v="ORD-2025-1471"/>
    <s v="2025-12-09"/>
    <x v="1"/>
    <x v="3"/>
    <n v="3"/>
    <n v="80"/>
    <x v="0"/>
    <n v="228"/>
    <n v="138"/>
    <x v="2"/>
    <x v="1"/>
    <x v="11"/>
    <n v="0.60526315789473684"/>
  </r>
  <r>
    <s v="ORD-2025-1472"/>
    <s v="2025-12-10"/>
    <x v="0"/>
    <x v="0"/>
    <n v="5"/>
    <n v="110"/>
    <x v="2"/>
    <n v="467.5"/>
    <n v="317.5"/>
    <x v="2"/>
    <x v="1"/>
    <x v="11"/>
    <n v="0.67914438502673802"/>
  </r>
  <r>
    <s v="ORD-2025-1473"/>
    <s v="2025-12-11"/>
    <x v="2"/>
    <x v="10"/>
    <n v="9"/>
    <n v="8"/>
    <x v="3"/>
    <n v="64.8"/>
    <n v="37.799999999999997"/>
    <x v="3"/>
    <x v="2"/>
    <x v="11"/>
    <n v="0.58333333333333337"/>
  </r>
  <r>
    <s v="ORD-2025-1474"/>
    <s v="2025-12-12"/>
    <x v="1"/>
    <x v="1"/>
    <n v="9"/>
    <n v="40"/>
    <x v="4"/>
    <n v="288"/>
    <n v="153"/>
    <x v="3"/>
    <x v="1"/>
    <x v="11"/>
    <n v="0.53125"/>
  </r>
  <r>
    <s v="ORD-2025-1475"/>
    <s v="2025-12-12"/>
    <x v="1"/>
    <x v="14"/>
    <n v="1"/>
    <n v="350"/>
    <x v="0"/>
    <n v="332.5"/>
    <n v="242.5"/>
    <x v="2"/>
    <x v="0"/>
    <x v="11"/>
    <n v="0.72932330827067671"/>
  </r>
  <r>
    <s v="ORD-2025-1476"/>
    <s v="2025-12-13"/>
    <x v="1"/>
    <x v="3"/>
    <n v="9"/>
    <n v="80"/>
    <x v="1"/>
    <n v="720"/>
    <n v="450"/>
    <x v="0"/>
    <x v="0"/>
    <x v="11"/>
    <n v="0.625"/>
  </r>
  <r>
    <s v="ORD-2025-1477"/>
    <s v="2025-12-14"/>
    <x v="1"/>
    <x v="13"/>
    <n v="7"/>
    <n v="1200"/>
    <x v="0"/>
    <n v="7980"/>
    <n v="5880"/>
    <x v="3"/>
    <x v="0"/>
    <x v="11"/>
    <n v="0.73684210526315785"/>
  </r>
  <r>
    <s v="ORD-2025-1478"/>
    <s v="2025-12-14"/>
    <x v="1"/>
    <x v="3"/>
    <n v="5"/>
    <n v="80"/>
    <x v="0"/>
    <n v="380"/>
    <n v="230"/>
    <x v="2"/>
    <x v="2"/>
    <x v="11"/>
    <n v="0.60526315789473684"/>
  </r>
  <r>
    <s v="ORD-2025-1479"/>
    <s v="2025-12-15"/>
    <x v="1"/>
    <x v="3"/>
    <n v="8"/>
    <n v="80"/>
    <x v="3"/>
    <n v="576"/>
    <n v="336"/>
    <x v="1"/>
    <x v="1"/>
    <x v="11"/>
    <n v="0.58333333333333337"/>
  </r>
  <r>
    <s v="ORD-2025-1480"/>
    <s v="2025-12-16"/>
    <x v="0"/>
    <x v="12"/>
    <n v="8"/>
    <n v="35"/>
    <x v="1"/>
    <n v="280"/>
    <n v="184"/>
    <x v="0"/>
    <x v="0"/>
    <x v="11"/>
    <n v="0.65714285714285714"/>
  </r>
  <r>
    <s v="ORD-2025-1481"/>
    <s v="2025-12-17"/>
    <x v="0"/>
    <x v="12"/>
    <n v="7"/>
    <n v="35"/>
    <x v="0"/>
    <n v="232.75"/>
    <n v="148.75"/>
    <x v="1"/>
    <x v="2"/>
    <x v="11"/>
    <n v="0.63909774436090228"/>
  </r>
  <r>
    <s v="ORD-2025-1482"/>
    <s v="2025-12-17"/>
    <x v="1"/>
    <x v="14"/>
    <n v="2"/>
    <n v="350"/>
    <x v="0"/>
    <n v="665"/>
    <n v="485"/>
    <x v="1"/>
    <x v="1"/>
    <x v="11"/>
    <n v="0.72932330827067671"/>
  </r>
  <r>
    <s v="ORD-2025-1483"/>
    <s v="2025-12-18"/>
    <x v="1"/>
    <x v="11"/>
    <n v="7"/>
    <n v="25"/>
    <x v="1"/>
    <n v="175"/>
    <n v="105"/>
    <x v="1"/>
    <x v="1"/>
    <x v="11"/>
    <n v="0.6"/>
  </r>
  <r>
    <s v="ORD-2025-1484"/>
    <s v="2025-12-19"/>
    <x v="0"/>
    <x v="6"/>
    <n v="5"/>
    <n v="150"/>
    <x v="0"/>
    <n v="712.5"/>
    <n v="512.5"/>
    <x v="2"/>
    <x v="0"/>
    <x v="11"/>
    <n v="0.7192982456140351"/>
  </r>
  <r>
    <s v="ORD-2025-1485"/>
    <s v="2025-12-20"/>
    <x v="0"/>
    <x v="9"/>
    <n v="1"/>
    <n v="250"/>
    <x v="2"/>
    <n v="212.5"/>
    <n v="142.5"/>
    <x v="3"/>
    <x v="1"/>
    <x v="11"/>
    <n v="0.6705882352941176"/>
  </r>
  <r>
    <s v="ORD-2025-1486"/>
    <s v="2025-12-20"/>
    <x v="0"/>
    <x v="9"/>
    <n v="2"/>
    <n v="250"/>
    <x v="0"/>
    <n v="475"/>
    <n v="335"/>
    <x v="2"/>
    <x v="1"/>
    <x v="11"/>
    <n v="0.70526315789473681"/>
  </r>
  <r>
    <s v="ORD-2025-1487"/>
    <s v="2025-12-21"/>
    <x v="1"/>
    <x v="13"/>
    <n v="2"/>
    <n v="1200"/>
    <x v="1"/>
    <n v="2400"/>
    <n v="1800"/>
    <x v="1"/>
    <x v="0"/>
    <x v="11"/>
    <n v="0.75"/>
  </r>
  <r>
    <s v="ORD-2025-1488"/>
    <s v="2025-12-22"/>
    <x v="2"/>
    <x v="4"/>
    <n v="6"/>
    <n v="25"/>
    <x v="1"/>
    <n v="150"/>
    <n v="102"/>
    <x v="2"/>
    <x v="1"/>
    <x v="11"/>
    <n v="0.68"/>
  </r>
  <r>
    <s v="ORD-2025-1489"/>
    <s v="2025-12-22"/>
    <x v="0"/>
    <x v="0"/>
    <n v="3"/>
    <n v="110"/>
    <x v="1"/>
    <n v="330"/>
    <n v="240"/>
    <x v="3"/>
    <x v="0"/>
    <x v="11"/>
    <n v="0.72727272727272729"/>
  </r>
  <r>
    <s v="ORD-2025-1490"/>
    <s v="2025-12-23"/>
    <x v="1"/>
    <x v="13"/>
    <n v="1"/>
    <n v="1200"/>
    <x v="4"/>
    <n v="960"/>
    <n v="660"/>
    <x v="1"/>
    <x v="2"/>
    <x v="11"/>
    <n v="0.6875"/>
  </r>
  <r>
    <s v="ORD-2025-1491"/>
    <s v="2025-12-24"/>
    <x v="1"/>
    <x v="13"/>
    <n v="4"/>
    <n v="1200"/>
    <x v="4"/>
    <n v="3840"/>
    <n v="2640"/>
    <x v="2"/>
    <x v="1"/>
    <x v="11"/>
    <n v="0.6875"/>
  </r>
  <r>
    <s v="ORD-2025-1492"/>
    <s v="2025-12-25"/>
    <x v="2"/>
    <x v="5"/>
    <n v="5"/>
    <n v="15"/>
    <x v="1"/>
    <n v="75"/>
    <n v="50"/>
    <x v="1"/>
    <x v="0"/>
    <x v="11"/>
    <n v="0.66666666666666663"/>
  </r>
  <r>
    <s v="ORD-2025-1493"/>
    <s v="2025-12-25"/>
    <x v="0"/>
    <x v="7"/>
    <n v="6"/>
    <n v="450"/>
    <x v="1"/>
    <n v="2700"/>
    <n v="1980"/>
    <x v="1"/>
    <x v="2"/>
    <x v="11"/>
    <n v="0.73333333333333328"/>
  </r>
  <r>
    <s v="ORD-2025-1494"/>
    <s v="2025-12-26"/>
    <x v="2"/>
    <x v="10"/>
    <n v="5"/>
    <n v="8"/>
    <x v="4"/>
    <n v="32"/>
    <n v="17"/>
    <x v="2"/>
    <x v="0"/>
    <x v="11"/>
    <n v="0.53125"/>
  </r>
  <r>
    <s v="ORD-2025-1495"/>
    <s v="2025-12-27"/>
    <x v="2"/>
    <x v="8"/>
    <n v="1"/>
    <n v="20"/>
    <x v="1"/>
    <n v="20"/>
    <n v="13"/>
    <x v="1"/>
    <x v="2"/>
    <x v="11"/>
    <n v="0.65"/>
  </r>
  <r>
    <s v="ORD-2025-1496"/>
    <s v="2025-12-28"/>
    <x v="2"/>
    <x v="4"/>
    <n v="6"/>
    <n v="25"/>
    <x v="0"/>
    <n v="142.5"/>
    <n v="94.5"/>
    <x v="2"/>
    <x v="1"/>
    <x v="11"/>
    <n v="0.66315789473684206"/>
  </r>
  <r>
    <s v="ORD-2025-1497"/>
    <s v="2025-12-28"/>
    <x v="0"/>
    <x v="12"/>
    <n v="5"/>
    <n v="35"/>
    <x v="1"/>
    <n v="175"/>
    <n v="115"/>
    <x v="3"/>
    <x v="2"/>
    <x v="11"/>
    <n v="0.65714285714285714"/>
  </r>
  <r>
    <s v="ORD-2025-1498"/>
    <s v="2025-12-29"/>
    <x v="2"/>
    <x v="10"/>
    <n v="6"/>
    <n v="8"/>
    <x v="1"/>
    <n v="48"/>
    <n v="30"/>
    <x v="0"/>
    <x v="1"/>
    <x v="11"/>
    <n v="0.625"/>
  </r>
  <r>
    <s v="ORD-2025-1499"/>
    <s v="2025-12-30"/>
    <x v="2"/>
    <x v="2"/>
    <n v="4"/>
    <n v="10"/>
    <x v="1"/>
    <n v="40"/>
    <n v="24"/>
    <x v="3"/>
    <x v="2"/>
    <x v="11"/>
    <n v="0.6"/>
  </r>
  <r>
    <s v="ORD-2025-1500"/>
    <s v="2025-12-31"/>
    <x v="2"/>
    <x v="5"/>
    <n v="7"/>
    <n v="15"/>
    <x v="1"/>
    <n v="105"/>
    <n v="70"/>
    <x v="3"/>
    <x v="1"/>
    <x v="11"/>
    <n v="0.666666666666666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E5D93-029F-4598-8B56-5070BE2C30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3">
    <pivotField showAll="0"/>
    <pivotField showAll="0"/>
    <pivotField showAll="0"/>
    <pivotField showAll="0"/>
    <pivotField showAll="0"/>
    <pivotField numFmtId="164" showAll="0"/>
    <pivotField numFmtId="10" showAll="0"/>
    <pivotField dataField="1" numFmtId="164" showAll="0"/>
    <pivotField numFmtId="164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0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19C91-9A2B-4B0B-B9FF-7DDDEDA751D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0:F26" firstHeaderRow="1" firstDataRow="1" firstDataCol="1"/>
  <pivotFields count="13">
    <pivotField showAll="0"/>
    <pivotField showAll="0"/>
    <pivotField showAll="0"/>
    <pivotField axis="axisRow" showAll="0" measureFilter="1">
      <items count="16">
        <item x="14"/>
        <item x="6"/>
        <item x="4"/>
        <item x="9"/>
        <item x="0"/>
        <item x="2"/>
        <item x="13"/>
        <item x="3"/>
        <item x="5"/>
        <item x="12"/>
        <item x="10"/>
        <item x="7"/>
        <item x="8"/>
        <item x="1"/>
        <item x="11"/>
        <item t="default"/>
      </items>
    </pivotField>
    <pivotField showAll="0"/>
    <pivotField numFmtId="164" showAll="0"/>
    <pivotField numFmtId="10" showAll="0"/>
    <pivotField dataField="1" numFmtId="164" showAll="0"/>
    <pivotField numFmtId="164" showAll="0"/>
    <pivotField showAll="0"/>
    <pivotField showAll="0"/>
    <pivotField showAll="0"/>
    <pivotField numFmtId="10" showAll="0"/>
  </pivotFields>
  <rowFields count="1">
    <field x="3"/>
  </rowFields>
  <rowItems count="6">
    <i>
      <x/>
    </i>
    <i>
      <x v="3"/>
    </i>
    <i>
      <x v="4"/>
    </i>
    <i>
      <x v="6"/>
    </i>
    <i>
      <x v="11"/>
    </i>
    <i t="grand">
      <x/>
    </i>
  </rowItems>
  <colItems count="1">
    <i/>
  </colItems>
  <dataFields count="1">
    <dataField name="Sum of Sales" fld="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2AB09-FB4C-4B2F-9BD1-0FEA76014B5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B26" firstHeaderRow="1" firstDataRow="1" firstDataCol="1"/>
  <pivotFields count="13">
    <pivotField showAll="0"/>
    <pivotField showAll="0"/>
    <pivotField showAll="0"/>
    <pivotField showAll="0"/>
    <pivotField showAll="0"/>
    <pivotField numFmtId="164" showAll="0"/>
    <pivotField numFmtId="10" showAll="0"/>
    <pivotField dataField="1" numFmtId="164" showAll="0"/>
    <pivotField numFmtId="164"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numFmtId="1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AEE60-D3DE-4097-A7C9-6AF3CCA9E7A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6:B62" firstHeaderRow="1" firstDataRow="1" firstDataCol="1"/>
  <pivotFields count="13">
    <pivotField showAll="0"/>
    <pivotField showAll="0"/>
    <pivotField showAll="0"/>
    <pivotField axis="axisRow" showAll="0" sortType="descending">
      <items count="16">
        <item x="14"/>
        <item x="6"/>
        <item x="4"/>
        <item x="9"/>
        <item x="0"/>
        <item x="2"/>
        <item x="13"/>
        <item x="3"/>
        <item x="5"/>
        <item x="12"/>
        <item x="10"/>
        <item x="7"/>
        <item x="8"/>
        <item x="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0" showAll="0"/>
    <pivotField dataField="1" numFmtId="164" showAll="0"/>
    <pivotField numFmtId="164" showAll="0"/>
    <pivotField showAll="0"/>
    <pivotField showAll="0"/>
    <pivotField showAll="0"/>
    <pivotField numFmtId="10" showAll="0"/>
  </pivotFields>
  <rowFields count="1">
    <field x="3"/>
  </rowFields>
  <rowItems count="16">
    <i>
      <x v="6"/>
    </i>
    <i>
      <x v="11"/>
    </i>
    <i>
      <x/>
    </i>
    <i>
      <x v="3"/>
    </i>
    <i>
      <x v="4"/>
    </i>
    <i>
      <x v="1"/>
    </i>
    <i>
      <x v="7"/>
    </i>
    <i>
      <x v="9"/>
    </i>
    <i>
      <x v="14"/>
    </i>
    <i>
      <x v="13"/>
    </i>
    <i>
      <x v="2"/>
    </i>
    <i>
      <x v="12"/>
    </i>
    <i>
      <x v="8"/>
    </i>
    <i>
      <x v="5"/>
    </i>
    <i>
      <x v="10"/>
    </i>
    <i t="grand">
      <x/>
    </i>
  </rowItems>
  <colItems count="1">
    <i/>
  </colItems>
  <dataFields count="1">
    <dataField name="Sum of Sales" fld="7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9CC72-4F08-458D-9ED9-B3773701D23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5:I41" firstHeaderRow="0" firstDataRow="1" firstDataCol="1"/>
  <pivotFields count="13">
    <pivotField showAll="0"/>
    <pivotField showAll="0"/>
    <pivotField showAll="0"/>
    <pivotField showAll="0"/>
    <pivotField showAll="0"/>
    <pivotField numFmtId="164" showAll="0"/>
    <pivotField axis="axisRow" numFmtId="10" showAll="0">
      <items count="6">
        <item x="1"/>
        <item x="0"/>
        <item x="3"/>
        <item x="2"/>
        <item x="4"/>
        <item t="default"/>
      </items>
    </pivotField>
    <pivotField dataField="1" numFmtId="164" showAll="0"/>
    <pivotField numFmtId="164" showAll="0"/>
    <pivotField showAll="0"/>
    <pivotField showAll="0"/>
    <pivotField showAll="0"/>
    <pivotField dataField="1" numFmtId="1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4"/>
    <dataField name="Average of Profit Margin %" fld="12" subtotal="average" baseField="0" baseItem="0" numFmtId="10"/>
  </dataFields>
  <formats count="2">
    <format dxfId="1">
      <pivotArea field="6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5AE75-3DF6-4C59-BDCB-02107AB7F7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3:G7" firstHeaderRow="0" firstDataRow="1" firstDataCol="1"/>
  <pivotFields count="13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64" showAll="0"/>
    <pivotField numFmtId="10" showAll="0"/>
    <pivotField dataField="1" numFmtId="164" showAll="0"/>
    <pivotField dataField="1" numFmtId="164" showAll="0"/>
    <pivotField showAll="0"/>
    <pivotField showAll="0"/>
    <pivotField showAll="0"/>
    <pivotField numFmtId="1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4"/>
    <dataField name="Sum of Profit" fld="8" baseField="0" baseItem="0" numFmtId="164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A939A-E27A-48E9-8C58-3F1F1477ED0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5:C40" firstHeaderRow="0" firstDataRow="1" firstDataCol="1"/>
  <pivotFields count="13">
    <pivotField showAll="0"/>
    <pivotField showAll="0"/>
    <pivotField showAll="0"/>
    <pivotField showAll="0"/>
    <pivotField showAll="0"/>
    <pivotField numFmtId="164" showAll="0"/>
    <pivotField numFmtId="10" showAll="0"/>
    <pivotField dataField="1" numFmtId="164" showAll="0"/>
    <pivotField dataField="1" numFmtId="164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numFmtId="1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64"/>
    <dataField name="Sum of Profit" fld="8" baseField="0" baseItem="0" numFmtId="164"/>
  </dataFields>
  <formats count="2">
    <format dxfId="3">
      <pivotArea field="1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workbookViewId="0">
      <selection activeCell="O19" sqref="O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8</v>
      </c>
      <c r="F2">
        <v>110</v>
      </c>
      <c r="G2">
        <v>0.05</v>
      </c>
      <c r="H2">
        <v>836</v>
      </c>
      <c r="I2">
        <v>596</v>
      </c>
      <c r="J2" t="s">
        <v>15</v>
      </c>
      <c r="K2" t="s">
        <v>16</v>
      </c>
    </row>
    <row r="3" spans="1:11" x14ac:dyDescent="0.3">
      <c r="A3" t="s">
        <v>17</v>
      </c>
      <c r="B3" t="s">
        <v>12</v>
      </c>
      <c r="C3" t="s">
        <v>18</v>
      </c>
      <c r="D3" t="s">
        <v>19</v>
      </c>
      <c r="E3">
        <v>4</v>
      </c>
      <c r="F3">
        <v>40</v>
      </c>
      <c r="G3">
        <v>0</v>
      </c>
      <c r="H3">
        <v>160</v>
      </c>
      <c r="I3">
        <v>100</v>
      </c>
      <c r="J3" t="s">
        <v>20</v>
      </c>
      <c r="K3" t="s">
        <v>16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5</v>
      </c>
      <c r="F4">
        <v>10</v>
      </c>
      <c r="G4">
        <v>0.05</v>
      </c>
      <c r="H4">
        <v>47.5</v>
      </c>
      <c r="I4">
        <v>27.5</v>
      </c>
      <c r="J4" t="s">
        <v>20</v>
      </c>
      <c r="K4" t="s">
        <v>16</v>
      </c>
    </row>
    <row r="5" spans="1:11" x14ac:dyDescent="0.3">
      <c r="A5" t="s">
        <v>25</v>
      </c>
      <c r="B5" t="s">
        <v>26</v>
      </c>
      <c r="C5" t="s">
        <v>18</v>
      </c>
      <c r="D5" t="s">
        <v>27</v>
      </c>
      <c r="E5">
        <v>3</v>
      </c>
      <c r="F5">
        <v>80</v>
      </c>
      <c r="G5">
        <v>0</v>
      </c>
      <c r="H5">
        <v>240</v>
      </c>
      <c r="I5">
        <v>150</v>
      </c>
      <c r="J5" t="s">
        <v>28</v>
      </c>
      <c r="K5" t="s">
        <v>29</v>
      </c>
    </row>
    <row r="6" spans="1:11" x14ac:dyDescent="0.3">
      <c r="A6" t="s">
        <v>30</v>
      </c>
      <c r="B6" t="s">
        <v>26</v>
      </c>
      <c r="C6" t="s">
        <v>23</v>
      </c>
      <c r="D6" t="s">
        <v>31</v>
      </c>
      <c r="E6">
        <v>9</v>
      </c>
      <c r="F6">
        <v>25</v>
      </c>
      <c r="G6">
        <v>0</v>
      </c>
      <c r="H6">
        <v>225</v>
      </c>
      <c r="I6">
        <v>153</v>
      </c>
      <c r="J6" t="s">
        <v>28</v>
      </c>
      <c r="K6" t="s">
        <v>32</v>
      </c>
    </row>
    <row r="7" spans="1:11" x14ac:dyDescent="0.3">
      <c r="A7" t="s">
        <v>33</v>
      </c>
      <c r="B7" t="s">
        <v>34</v>
      </c>
      <c r="C7" t="s">
        <v>23</v>
      </c>
      <c r="D7" t="s">
        <v>35</v>
      </c>
      <c r="E7">
        <v>5</v>
      </c>
      <c r="F7">
        <v>15</v>
      </c>
      <c r="G7">
        <v>0</v>
      </c>
      <c r="H7">
        <v>75</v>
      </c>
      <c r="I7">
        <v>50</v>
      </c>
      <c r="J7" t="s">
        <v>15</v>
      </c>
      <c r="K7" t="s">
        <v>29</v>
      </c>
    </row>
    <row r="8" spans="1:11" x14ac:dyDescent="0.3">
      <c r="A8" t="s">
        <v>36</v>
      </c>
      <c r="B8" t="s">
        <v>37</v>
      </c>
      <c r="C8" t="s">
        <v>13</v>
      </c>
      <c r="D8" t="s">
        <v>38</v>
      </c>
      <c r="E8">
        <v>1</v>
      </c>
      <c r="F8">
        <v>150</v>
      </c>
      <c r="G8">
        <v>0</v>
      </c>
      <c r="H8">
        <v>150</v>
      </c>
      <c r="I8">
        <v>110</v>
      </c>
      <c r="J8" t="s">
        <v>20</v>
      </c>
      <c r="K8" t="s">
        <v>16</v>
      </c>
    </row>
    <row r="9" spans="1:11" x14ac:dyDescent="0.3">
      <c r="A9" t="s">
        <v>39</v>
      </c>
      <c r="B9" t="s">
        <v>40</v>
      </c>
      <c r="C9" t="s">
        <v>13</v>
      </c>
      <c r="D9" t="s">
        <v>41</v>
      </c>
      <c r="E9">
        <v>4</v>
      </c>
      <c r="F9">
        <v>450</v>
      </c>
      <c r="G9">
        <v>0</v>
      </c>
      <c r="H9">
        <v>1800</v>
      </c>
      <c r="I9">
        <v>1320</v>
      </c>
      <c r="J9" t="s">
        <v>28</v>
      </c>
      <c r="K9" t="s">
        <v>29</v>
      </c>
    </row>
    <row r="10" spans="1:11" x14ac:dyDescent="0.3">
      <c r="A10" t="s">
        <v>42</v>
      </c>
      <c r="B10" t="s">
        <v>40</v>
      </c>
      <c r="C10" t="s">
        <v>23</v>
      </c>
      <c r="D10" t="s">
        <v>43</v>
      </c>
      <c r="E10">
        <v>8</v>
      </c>
      <c r="F10">
        <v>20</v>
      </c>
      <c r="G10">
        <v>0.05</v>
      </c>
      <c r="H10">
        <v>152</v>
      </c>
      <c r="I10">
        <v>96</v>
      </c>
      <c r="J10" t="s">
        <v>44</v>
      </c>
      <c r="K10" t="s">
        <v>32</v>
      </c>
    </row>
    <row r="11" spans="1:11" x14ac:dyDescent="0.3">
      <c r="A11" t="s">
        <v>45</v>
      </c>
      <c r="B11" t="s">
        <v>46</v>
      </c>
      <c r="C11" t="s">
        <v>23</v>
      </c>
      <c r="D11" t="s">
        <v>31</v>
      </c>
      <c r="E11">
        <v>2</v>
      </c>
      <c r="F11">
        <v>25</v>
      </c>
      <c r="G11">
        <v>0.05</v>
      </c>
      <c r="H11">
        <v>47.5</v>
      </c>
      <c r="I11">
        <v>31.5</v>
      </c>
      <c r="J11" t="s">
        <v>20</v>
      </c>
      <c r="K11" t="s">
        <v>32</v>
      </c>
    </row>
    <row r="12" spans="1:11" x14ac:dyDescent="0.3">
      <c r="A12" t="s">
        <v>47</v>
      </c>
      <c r="B12" t="s">
        <v>48</v>
      </c>
      <c r="C12" t="s">
        <v>13</v>
      </c>
      <c r="D12" t="s">
        <v>14</v>
      </c>
      <c r="E12">
        <v>9</v>
      </c>
      <c r="F12">
        <v>110</v>
      </c>
      <c r="G12">
        <v>0</v>
      </c>
      <c r="H12">
        <v>990</v>
      </c>
      <c r="I12">
        <v>720</v>
      </c>
      <c r="J12" t="s">
        <v>15</v>
      </c>
      <c r="K12" t="s">
        <v>16</v>
      </c>
    </row>
    <row r="13" spans="1:11" x14ac:dyDescent="0.3">
      <c r="A13" t="s">
        <v>49</v>
      </c>
      <c r="B13" t="s">
        <v>50</v>
      </c>
      <c r="C13" t="s">
        <v>13</v>
      </c>
      <c r="D13" t="s">
        <v>51</v>
      </c>
      <c r="E13">
        <v>8</v>
      </c>
      <c r="F13">
        <v>250</v>
      </c>
      <c r="G13">
        <v>0</v>
      </c>
      <c r="H13">
        <v>2000</v>
      </c>
      <c r="I13">
        <v>1440</v>
      </c>
      <c r="J13" t="s">
        <v>28</v>
      </c>
      <c r="K13" t="s">
        <v>29</v>
      </c>
    </row>
    <row r="14" spans="1:11" x14ac:dyDescent="0.3">
      <c r="A14" t="s">
        <v>52</v>
      </c>
      <c r="B14" t="s">
        <v>50</v>
      </c>
      <c r="C14" t="s">
        <v>23</v>
      </c>
      <c r="D14" t="s">
        <v>35</v>
      </c>
      <c r="E14">
        <v>5</v>
      </c>
      <c r="F14">
        <v>15</v>
      </c>
      <c r="G14">
        <v>0.15</v>
      </c>
      <c r="H14">
        <v>63.75</v>
      </c>
      <c r="I14">
        <v>38.75</v>
      </c>
      <c r="J14" t="s">
        <v>20</v>
      </c>
    </row>
    <row r="15" spans="1:11" x14ac:dyDescent="0.3">
      <c r="A15" t="s">
        <v>53</v>
      </c>
      <c r="B15" t="s">
        <v>54</v>
      </c>
      <c r="C15" t="s">
        <v>23</v>
      </c>
      <c r="D15" t="s">
        <v>43</v>
      </c>
      <c r="E15">
        <v>2</v>
      </c>
      <c r="F15">
        <v>20</v>
      </c>
      <c r="G15">
        <v>0</v>
      </c>
      <c r="H15">
        <v>40</v>
      </c>
      <c r="I15">
        <v>26</v>
      </c>
      <c r="J15" t="s">
        <v>44</v>
      </c>
      <c r="K15" t="s">
        <v>29</v>
      </c>
    </row>
    <row r="16" spans="1:11" x14ac:dyDescent="0.3">
      <c r="A16" t="s">
        <v>55</v>
      </c>
      <c r="B16" t="s">
        <v>56</v>
      </c>
      <c r="C16" t="s">
        <v>23</v>
      </c>
      <c r="D16" t="s">
        <v>43</v>
      </c>
      <c r="E16">
        <v>8</v>
      </c>
      <c r="F16">
        <v>20</v>
      </c>
      <c r="G16">
        <v>0</v>
      </c>
      <c r="H16">
        <v>160</v>
      </c>
      <c r="I16">
        <v>104</v>
      </c>
      <c r="J16" t="s">
        <v>20</v>
      </c>
      <c r="K16" t="s">
        <v>16</v>
      </c>
    </row>
    <row r="17" spans="1:11" x14ac:dyDescent="0.3">
      <c r="A17" t="s">
        <v>57</v>
      </c>
      <c r="B17" t="s">
        <v>56</v>
      </c>
      <c r="C17" t="s">
        <v>23</v>
      </c>
      <c r="D17" t="s">
        <v>58</v>
      </c>
      <c r="E17">
        <v>1</v>
      </c>
      <c r="F17">
        <v>8</v>
      </c>
      <c r="G17">
        <v>0.1</v>
      </c>
      <c r="H17">
        <v>7.2</v>
      </c>
      <c r="I17">
        <v>4.2</v>
      </c>
      <c r="J17" t="s">
        <v>15</v>
      </c>
      <c r="K17" t="s">
        <v>16</v>
      </c>
    </row>
    <row r="18" spans="1:11" x14ac:dyDescent="0.3">
      <c r="A18" t="s">
        <v>59</v>
      </c>
      <c r="B18" t="s">
        <v>60</v>
      </c>
      <c r="C18" t="s">
        <v>18</v>
      </c>
      <c r="D18" t="s">
        <v>61</v>
      </c>
      <c r="E18">
        <v>3</v>
      </c>
      <c r="F18">
        <v>25</v>
      </c>
      <c r="G18">
        <v>0</v>
      </c>
      <c r="H18">
        <v>75</v>
      </c>
      <c r="I18">
        <v>45</v>
      </c>
      <c r="J18" t="s">
        <v>20</v>
      </c>
      <c r="K18" t="s">
        <v>16</v>
      </c>
    </row>
    <row r="19" spans="1:11" x14ac:dyDescent="0.3">
      <c r="A19" t="s">
        <v>62</v>
      </c>
      <c r="B19" t="s">
        <v>63</v>
      </c>
      <c r="C19" t="s">
        <v>13</v>
      </c>
      <c r="D19" t="s">
        <v>14</v>
      </c>
      <c r="E19">
        <v>7</v>
      </c>
      <c r="F19">
        <v>110</v>
      </c>
      <c r="G19">
        <v>0.05</v>
      </c>
      <c r="H19">
        <v>731.5</v>
      </c>
      <c r="I19">
        <v>521.5</v>
      </c>
      <c r="J19" t="s">
        <v>44</v>
      </c>
      <c r="K19" t="s">
        <v>16</v>
      </c>
    </row>
    <row r="20" spans="1:11" x14ac:dyDescent="0.3">
      <c r="A20" t="s">
        <v>64</v>
      </c>
      <c r="B20" t="s">
        <v>65</v>
      </c>
      <c r="C20" t="s">
        <v>23</v>
      </c>
      <c r="D20" t="s">
        <v>58</v>
      </c>
      <c r="E20">
        <v>3</v>
      </c>
      <c r="F20">
        <v>8</v>
      </c>
      <c r="G20">
        <v>0</v>
      </c>
      <c r="H20">
        <v>24</v>
      </c>
      <c r="I20">
        <v>15</v>
      </c>
      <c r="J20" t="s">
        <v>28</v>
      </c>
      <c r="K20" t="s">
        <v>32</v>
      </c>
    </row>
    <row r="21" spans="1:11" x14ac:dyDescent="0.3">
      <c r="A21" t="s">
        <v>66</v>
      </c>
      <c r="B21" t="s">
        <v>65</v>
      </c>
      <c r="C21" t="s">
        <v>13</v>
      </c>
      <c r="D21" t="s">
        <v>67</v>
      </c>
      <c r="E21">
        <v>4</v>
      </c>
      <c r="F21">
        <v>35</v>
      </c>
      <c r="G21">
        <v>0.15</v>
      </c>
      <c r="H21">
        <v>119</v>
      </c>
      <c r="I21">
        <v>71</v>
      </c>
      <c r="J21" t="s">
        <v>44</v>
      </c>
      <c r="K21" t="s">
        <v>32</v>
      </c>
    </row>
    <row r="22" spans="1:11" x14ac:dyDescent="0.3">
      <c r="A22" t="s">
        <v>68</v>
      </c>
      <c r="B22" t="s">
        <v>69</v>
      </c>
      <c r="C22" t="s">
        <v>23</v>
      </c>
      <c r="D22" t="s">
        <v>35</v>
      </c>
      <c r="E22">
        <v>1</v>
      </c>
      <c r="F22">
        <v>15</v>
      </c>
      <c r="G22">
        <v>0</v>
      </c>
      <c r="H22">
        <v>15</v>
      </c>
      <c r="I22">
        <v>10</v>
      </c>
      <c r="J22" t="s">
        <v>44</v>
      </c>
      <c r="K22" t="s">
        <v>32</v>
      </c>
    </row>
    <row r="23" spans="1:11" x14ac:dyDescent="0.3">
      <c r="A23" t="s">
        <v>70</v>
      </c>
      <c r="B23" t="s">
        <v>71</v>
      </c>
      <c r="C23" t="s">
        <v>23</v>
      </c>
      <c r="D23" t="s">
        <v>58</v>
      </c>
      <c r="E23">
        <v>9</v>
      </c>
      <c r="F23">
        <v>8</v>
      </c>
      <c r="G23">
        <v>0</v>
      </c>
      <c r="H23">
        <v>72</v>
      </c>
      <c r="I23">
        <v>45</v>
      </c>
      <c r="J23" t="s">
        <v>20</v>
      </c>
      <c r="K23" t="s">
        <v>16</v>
      </c>
    </row>
    <row r="24" spans="1:11" x14ac:dyDescent="0.3">
      <c r="A24" t="s">
        <v>72</v>
      </c>
      <c r="B24" t="s">
        <v>73</v>
      </c>
      <c r="C24" t="s">
        <v>18</v>
      </c>
      <c r="D24" t="s">
        <v>27</v>
      </c>
      <c r="E24">
        <v>6</v>
      </c>
      <c r="F24">
        <v>80</v>
      </c>
      <c r="G24">
        <v>0</v>
      </c>
      <c r="H24">
        <v>480</v>
      </c>
      <c r="I24">
        <v>300</v>
      </c>
      <c r="J24" t="s">
        <v>20</v>
      </c>
      <c r="K24" t="s">
        <v>29</v>
      </c>
    </row>
    <row r="25" spans="1:11" x14ac:dyDescent="0.3">
      <c r="A25" t="s">
        <v>74</v>
      </c>
      <c r="B25" t="s">
        <v>73</v>
      </c>
      <c r="C25" t="s">
        <v>18</v>
      </c>
      <c r="D25" t="s">
        <v>61</v>
      </c>
      <c r="E25">
        <v>4</v>
      </c>
      <c r="F25">
        <v>25</v>
      </c>
      <c r="G25">
        <v>0</v>
      </c>
      <c r="H25">
        <v>100</v>
      </c>
      <c r="I25">
        <v>60</v>
      </c>
      <c r="J25" t="s">
        <v>20</v>
      </c>
      <c r="K25" t="s">
        <v>29</v>
      </c>
    </row>
    <row r="26" spans="1:11" x14ac:dyDescent="0.3">
      <c r="A26" t="s">
        <v>75</v>
      </c>
      <c r="B26" t="s">
        <v>76</v>
      </c>
      <c r="C26" t="s">
        <v>18</v>
      </c>
      <c r="D26" t="s">
        <v>77</v>
      </c>
      <c r="E26">
        <v>1</v>
      </c>
      <c r="F26">
        <v>1200</v>
      </c>
      <c r="G26">
        <v>0.2</v>
      </c>
      <c r="H26">
        <v>960</v>
      </c>
      <c r="I26">
        <v>660</v>
      </c>
      <c r="J26" t="s">
        <v>44</v>
      </c>
      <c r="K26" t="s">
        <v>16</v>
      </c>
    </row>
    <row r="27" spans="1:11" x14ac:dyDescent="0.3">
      <c r="A27" t="s">
        <v>78</v>
      </c>
      <c r="B27" t="s">
        <v>79</v>
      </c>
      <c r="C27" t="s">
        <v>18</v>
      </c>
      <c r="D27" t="s">
        <v>77</v>
      </c>
      <c r="E27">
        <v>3</v>
      </c>
      <c r="F27">
        <v>1200</v>
      </c>
      <c r="G27">
        <v>0.05</v>
      </c>
      <c r="H27">
        <v>3420</v>
      </c>
      <c r="I27">
        <v>2520</v>
      </c>
      <c r="J27" t="s">
        <v>44</v>
      </c>
      <c r="K27" t="s">
        <v>29</v>
      </c>
    </row>
    <row r="28" spans="1:11" x14ac:dyDescent="0.3">
      <c r="A28" t="s">
        <v>80</v>
      </c>
      <c r="B28" t="s">
        <v>79</v>
      </c>
      <c r="C28" t="s">
        <v>13</v>
      </c>
      <c r="D28" t="s">
        <v>67</v>
      </c>
      <c r="E28">
        <v>7</v>
      </c>
      <c r="F28">
        <v>35</v>
      </c>
      <c r="G28">
        <v>0.1</v>
      </c>
      <c r="H28">
        <v>220.5</v>
      </c>
      <c r="I28">
        <v>136.5</v>
      </c>
      <c r="J28" t="s">
        <v>15</v>
      </c>
      <c r="K28" t="s">
        <v>29</v>
      </c>
    </row>
    <row r="29" spans="1:11" x14ac:dyDescent="0.3">
      <c r="A29" t="s">
        <v>81</v>
      </c>
      <c r="B29" t="s">
        <v>82</v>
      </c>
      <c r="C29" t="s">
        <v>13</v>
      </c>
      <c r="D29" t="s">
        <v>67</v>
      </c>
      <c r="E29">
        <v>2</v>
      </c>
      <c r="F29">
        <v>35</v>
      </c>
      <c r="G29">
        <v>0.05</v>
      </c>
      <c r="H29">
        <v>66.5</v>
      </c>
      <c r="I29">
        <v>42.5</v>
      </c>
      <c r="J29" t="s">
        <v>44</v>
      </c>
      <c r="K29" t="s">
        <v>16</v>
      </c>
    </row>
    <row r="30" spans="1:11" x14ac:dyDescent="0.3">
      <c r="A30" t="s">
        <v>83</v>
      </c>
      <c r="B30" t="s">
        <v>84</v>
      </c>
      <c r="C30" t="s">
        <v>23</v>
      </c>
      <c r="D30" t="s">
        <v>43</v>
      </c>
      <c r="E30">
        <v>6</v>
      </c>
      <c r="F30">
        <v>20</v>
      </c>
      <c r="G30">
        <v>0.05</v>
      </c>
      <c r="H30">
        <v>114</v>
      </c>
      <c r="I30">
        <v>72</v>
      </c>
      <c r="J30" t="s">
        <v>28</v>
      </c>
      <c r="K30" t="s">
        <v>16</v>
      </c>
    </row>
    <row r="31" spans="1:11" x14ac:dyDescent="0.3">
      <c r="A31" t="s">
        <v>85</v>
      </c>
      <c r="B31" t="s">
        <v>86</v>
      </c>
      <c r="C31" t="s">
        <v>18</v>
      </c>
      <c r="D31" t="s">
        <v>61</v>
      </c>
      <c r="E31">
        <v>3</v>
      </c>
      <c r="F31">
        <v>25</v>
      </c>
      <c r="G31">
        <v>0.1</v>
      </c>
      <c r="H31">
        <v>67.5</v>
      </c>
      <c r="I31">
        <v>37.5</v>
      </c>
      <c r="J31" t="s">
        <v>44</v>
      </c>
      <c r="K31" t="s">
        <v>16</v>
      </c>
    </row>
    <row r="32" spans="1:11" x14ac:dyDescent="0.3">
      <c r="A32" t="s">
        <v>87</v>
      </c>
      <c r="B32" t="s">
        <v>86</v>
      </c>
      <c r="C32" t="s">
        <v>23</v>
      </c>
      <c r="D32" t="s">
        <v>24</v>
      </c>
      <c r="E32">
        <v>8</v>
      </c>
      <c r="F32">
        <v>10</v>
      </c>
      <c r="G32">
        <v>0</v>
      </c>
      <c r="H32">
        <v>80</v>
      </c>
      <c r="I32">
        <v>48</v>
      </c>
      <c r="J32" t="s">
        <v>44</v>
      </c>
      <c r="K32" t="s">
        <v>16</v>
      </c>
    </row>
    <row r="33" spans="1:11" x14ac:dyDescent="0.3">
      <c r="A33" t="s">
        <v>88</v>
      </c>
      <c r="B33" t="s">
        <v>89</v>
      </c>
      <c r="C33" t="s">
        <v>23</v>
      </c>
      <c r="D33" t="s">
        <v>24</v>
      </c>
      <c r="E33">
        <v>3</v>
      </c>
      <c r="F33">
        <v>10</v>
      </c>
      <c r="G33">
        <v>0</v>
      </c>
      <c r="H33">
        <v>30</v>
      </c>
      <c r="I33">
        <v>18</v>
      </c>
      <c r="J33" t="s">
        <v>15</v>
      </c>
      <c r="K33" t="s">
        <v>32</v>
      </c>
    </row>
    <row r="34" spans="1:11" x14ac:dyDescent="0.3">
      <c r="A34" t="s">
        <v>90</v>
      </c>
      <c r="B34" t="s">
        <v>91</v>
      </c>
      <c r="C34" t="s">
        <v>13</v>
      </c>
      <c r="D34" t="s">
        <v>51</v>
      </c>
      <c r="E34">
        <v>2</v>
      </c>
      <c r="F34">
        <v>250</v>
      </c>
      <c r="G34">
        <v>0.2</v>
      </c>
      <c r="H34">
        <v>400</v>
      </c>
      <c r="I34">
        <v>260</v>
      </c>
      <c r="J34" t="s">
        <v>28</v>
      </c>
      <c r="K34" t="s">
        <v>29</v>
      </c>
    </row>
    <row r="35" spans="1:11" x14ac:dyDescent="0.3">
      <c r="A35" t="s">
        <v>92</v>
      </c>
      <c r="B35" t="s">
        <v>93</v>
      </c>
      <c r="C35" t="s">
        <v>23</v>
      </c>
      <c r="D35" t="s">
        <v>35</v>
      </c>
      <c r="E35">
        <v>9</v>
      </c>
      <c r="F35">
        <v>15</v>
      </c>
      <c r="G35">
        <v>0</v>
      </c>
      <c r="H35">
        <v>135</v>
      </c>
      <c r="I35">
        <v>90</v>
      </c>
      <c r="J35" t="s">
        <v>20</v>
      </c>
      <c r="K35" t="s">
        <v>32</v>
      </c>
    </row>
    <row r="36" spans="1:11" x14ac:dyDescent="0.3">
      <c r="A36" t="s">
        <v>94</v>
      </c>
      <c r="B36" t="s">
        <v>93</v>
      </c>
      <c r="C36" t="s">
        <v>23</v>
      </c>
      <c r="D36" t="s">
        <v>35</v>
      </c>
      <c r="E36">
        <v>8</v>
      </c>
      <c r="F36">
        <v>15</v>
      </c>
      <c r="G36">
        <v>0.15</v>
      </c>
      <c r="H36">
        <v>102</v>
      </c>
      <c r="I36">
        <v>62</v>
      </c>
      <c r="J36" t="s">
        <v>28</v>
      </c>
      <c r="K36" t="s">
        <v>29</v>
      </c>
    </row>
    <row r="37" spans="1:11" x14ac:dyDescent="0.3">
      <c r="A37" t="s">
        <v>95</v>
      </c>
      <c r="B37" t="s">
        <v>96</v>
      </c>
      <c r="C37" t="s">
        <v>23</v>
      </c>
      <c r="D37" t="s">
        <v>58</v>
      </c>
      <c r="E37">
        <v>9</v>
      </c>
      <c r="F37">
        <v>8</v>
      </c>
      <c r="G37">
        <v>0.05</v>
      </c>
      <c r="H37">
        <v>68.400000000000006</v>
      </c>
      <c r="I37">
        <v>41.4</v>
      </c>
      <c r="J37" t="s">
        <v>15</v>
      </c>
      <c r="K37" t="s">
        <v>16</v>
      </c>
    </row>
    <row r="38" spans="1:11" x14ac:dyDescent="0.3">
      <c r="A38" t="s">
        <v>97</v>
      </c>
      <c r="B38" t="s">
        <v>98</v>
      </c>
      <c r="C38" t="s">
        <v>13</v>
      </c>
      <c r="D38" t="s">
        <v>38</v>
      </c>
      <c r="E38">
        <v>9</v>
      </c>
      <c r="F38">
        <v>150</v>
      </c>
      <c r="G38">
        <v>0</v>
      </c>
      <c r="H38">
        <v>1350</v>
      </c>
      <c r="I38">
        <v>990</v>
      </c>
      <c r="J38" t="s">
        <v>15</v>
      </c>
      <c r="K38" t="s">
        <v>29</v>
      </c>
    </row>
    <row r="39" spans="1:11" x14ac:dyDescent="0.3">
      <c r="A39" t="s">
        <v>99</v>
      </c>
      <c r="B39" t="s">
        <v>98</v>
      </c>
      <c r="C39" t="s">
        <v>18</v>
      </c>
      <c r="D39" t="s">
        <v>27</v>
      </c>
      <c r="E39">
        <v>1</v>
      </c>
      <c r="F39">
        <v>80</v>
      </c>
      <c r="G39">
        <v>0</v>
      </c>
      <c r="H39">
        <v>80</v>
      </c>
      <c r="I39">
        <v>50</v>
      </c>
      <c r="J39" t="s">
        <v>44</v>
      </c>
      <c r="K39" t="s">
        <v>29</v>
      </c>
    </row>
    <row r="40" spans="1:11" x14ac:dyDescent="0.3">
      <c r="A40" t="s">
        <v>100</v>
      </c>
      <c r="B40" t="s">
        <v>101</v>
      </c>
      <c r="C40" t="s">
        <v>13</v>
      </c>
      <c r="D40" t="s">
        <v>14</v>
      </c>
      <c r="E40">
        <v>3</v>
      </c>
      <c r="F40">
        <v>110</v>
      </c>
      <c r="G40">
        <v>0.15</v>
      </c>
      <c r="H40">
        <v>280.5</v>
      </c>
      <c r="I40">
        <v>190.5</v>
      </c>
      <c r="J40" t="s">
        <v>20</v>
      </c>
      <c r="K40" t="s">
        <v>29</v>
      </c>
    </row>
    <row r="41" spans="1:11" x14ac:dyDescent="0.3">
      <c r="A41" t="s">
        <v>102</v>
      </c>
      <c r="B41" t="s">
        <v>103</v>
      </c>
      <c r="C41" t="s">
        <v>13</v>
      </c>
      <c r="D41" t="s">
        <v>67</v>
      </c>
      <c r="E41">
        <v>1</v>
      </c>
      <c r="F41">
        <v>35</v>
      </c>
      <c r="G41">
        <v>0</v>
      </c>
      <c r="H41">
        <v>35</v>
      </c>
      <c r="I41">
        <v>23</v>
      </c>
      <c r="J41" t="s">
        <v>20</v>
      </c>
      <c r="K41" t="s">
        <v>16</v>
      </c>
    </row>
    <row r="42" spans="1:11" x14ac:dyDescent="0.3">
      <c r="A42" t="s">
        <v>104</v>
      </c>
      <c r="B42" t="s">
        <v>105</v>
      </c>
      <c r="C42" t="s">
        <v>18</v>
      </c>
      <c r="D42" t="s">
        <v>77</v>
      </c>
      <c r="E42">
        <v>1</v>
      </c>
      <c r="F42">
        <v>1200</v>
      </c>
      <c r="G42">
        <v>0.2</v>
      </c>
      <c r="H42">
        <v>960</v>
      </c>
      <c r="I42">
        <v>660</v>
      </c>
      <c r="J42" t="s">
        <v>44</v>
      </c>
      <c r="K42" t="s">
        <v>16</v>
      </c>
    </row>
    <row r="43" spans="1:11" x14ac:dyDescent="0.3">
      <c r="A43" t="s">
        <v>106</v>
      </c>
      <c r="B43" t="s">
        <v>105</v>
      </c>
      <c r="C43" t="s">
        <v>23</v>
      </c>
      <c r="D43" t="s">
        <v>43</v>
      </c>
      <c r="E43">
        <v>9</v>
      </c>
      <c r="F43">
        <v>20</v>
      </c>
      <c r="G43">
        <v>0.2</v>
      </c>
      <c r="H43">
        <v>144</v>
      </c>
      <c r="I43">
        <v>81</v>
      </c>
      <c r="J43" t="s">
        <v>44</v>
      </c>
      <c r="K43" t="s">
        <v>29</v>
      </c>
    </row>
    <row r="44" spans="1:11" x14ac:dyDescent="0.3">
      <c r="A44" t="s">
        <v>107</v>
      </c>
      <c r="B44" t="s">
        <v>108</v>
      </c>
      <c r="C44" t="s">
        <v>13</v>
      </c>
      <c r="D44" t="s">
        <v>67</v>
      </c>
      <c r="E44">
        <v>1</v>
      </c>
      <c r="F44">
        <v>35</v>
      </c>
      <c r="G44">
        <v>0</v>
      </c>
      <c r="H44">
        <v>35</v>
      </c>
      <c r="I44">
        <v>23</v>
      </c>
      <c r="J44" t="s">
        <v>44</v>
      </c>
      <c r="K44" t="s">
        <v>16</v>
      </c>
    </row>
    <row r="45" spans="1:11" x14ac:dyDescent="0.3">
      <c r="A45" t="s">
        <v>109</v>
      </c>
      <c r="B45" t="s">
        <v>110</v>
      </c>
      <c r="C45" t="s">
        <v>18</v>
      </c>
      <c r="D45" t="s">
        <v>27</v>
      </c>
      <c r="E45">
        <v>2</v>
      </c>
      <c r="F45">
        <v>80</v>
      </c>
      <c r="G45">
        <v>0.05</v>
      </c>
      <c r="H45">
        <v>152</v>
      </c>
      <c r="I45">
        <v>92</v>
      </c>
      <c r="J45" t="s">
        <v>28</v>
      </c>
      <c r="K45" t="s">
        <v>29</v>
      </c>
    </row>
    <row r="46" spans="1:11" x14ac:dyDescent="0.3">
      <c r="A46" t="s">
        <v>111</v>
      </c>
      <c r="B46" t="s">
        <v>112</v>
      </c>
      <c r="C46" t="s">
        <v>13</v>
      </c>
      <c r="D46" t="s">
        <v>41</v>
      </c>
      <c r="E46">
        <v>6</v>
      </c>
      <c r="F46">
        <v>450</v>
      </c>
      <c r="G46">
        <v>0</v>
      </c>
      <c r="H46">
        <v>2700</v>
      </c>
      <c r="I46">
        <v>1980</v>
      </c>
      <c r="J46" t="s">
        <v>15</v>
      </c>
      <c r="K46" t="s">
        <v>16</v>
      </c>
    </row>
    <row r="47" spans="1:11" x14ac:dyDescent="0.3">
      <c r="A47" t="s">
        <v>113</v>
      </c>
      <c r="B47" t="s">
        <v>112</v>
      </c>
      <c r="C47" t="s">
        <v>18</v>
      </c>
      <c r="D47" t="s">
        <v>77</v>
      </c>
      <c r="E47">
        <v>9</v>
      </c>
      <c r="F47">
        <v>1200</v>
      </c>
      <c r="G47">
        <v>0.1</v>
      </c>
      <c r="H47">
        <v>9720</v>
      </c>
      <c r="I47">
        <v>7020</v>
      </c>
      <c r="K47" t="s">
        <v>16</v>
      </c>
    </row>
    <row r="48" spans="1:11" x14ac:dyDescent="0.3">
      <c r="A48" t="s">
        <v>114</v>
      </c>
      <c r="B48" t="s">
        <v>115</v>
      </c>
      <c r="C48" t="s">
        <v>23</v>
      </c>
      <c r="D48" t="s">
        <v>58</v>
      </c>
      <c r="E48">
        <v>2</v>
      </c>
      <c r="F48">
        <v>8</v>
      </c>
      <c r="G48">
        <v>0.15</v>
      </c>
      <c r="H48">
        <v>13.6</v>
      </c>
      <c r="I48">
        <v>7.6</v>
      </c>
      <c r="J48" t="s">
        <v>28</v>
      </c>
      <c r="K48" t="s">
        <v>29</v>
      </c>
    </row>
    <row r="49" spans="1:11" x14ac:dyDescent="0.3">
      <c r="A49" t="s">
        <v>116</v>
      </c>
      <c r="B49" t="s">
        <v>117</v>
      </c>
      <c r="C49" t="s">
        <v>13</v>
      </c>
      <c r="D49" t="s">
        <v>14</v>
      </c>
      <c r="E49">
        <v>4</v>
      </c>
      <c r="F49">
        <v>110</v>
      </c>
      <c r="G49">
        <v>0.05</v>
      </c>
      <c r="H49">
        <v>418</v>
      </c>
      <c r="I49">
        <v>298</v>
      </c>
      <c r="J49" t="s">
        <v>20</v>
      </c>
      <c r="K49" t="s">
        <v>29</v>
      </c>
    </row>
    <row r="50" spans="1:11" x14ac:dyDescent="0.3">
      <c r="A50" t="s">
        <v>118</v>
      </c>
      <c r="B50" t="s">
        <v>119</v>
      </c>
      <c r="C50" t="s">
        <v>23</v>
      </c>
      <c r="D50" t="s">
        <v>43</v>
      </c>
      <c r="E50">
        <v>2</v>
      </c>
      <c r="F50">
        <v>20</v>
      </c>
      <c r="G50">
        <v>0</v>
      </c>
      <c r="H50">
        <v>40</v>
      </c>
      <c r="I50">
        <v>26</v>
      </c>
      <c r="J50" t="s">
        <v>20</v>
      </c>
      <c r="K50" t="s">
        <v>16</v>
      </c>
    </row>
    <row r="51" spans="1:11" x14ac:dyDescent="0.3">
      <c r="A51" t="s">
        <v>120</v>
      </c>
      <c r="B51" t="s">
        <v>119</v>
      </c>
      <c r="C51" t="s">
        <v>13</v>
      </c>
      <c r="D51" t="s">
        <v>14</v>
      </c>
      <c r="E51">
        <v>6</v>
      </c>
      <c r="F51">
        <v>110</v>
      </c>
      <c r="G51">
        <v>0.05</v>
      </c>
      <c r="H51">
        <v>627</v>
      </c>
      <c r="I51">
        <v>447</v>
      </c>
      <c r="J51" t="s">
        <v>15</v>
      </c>
      <c r="K51" t="s">
        <v>16</v>
      </c>
    </row>
    <row r="52" spans="1:11" x14ac:dyDescent="0.3">
      <c r="A52" t="s">
        <v>121</v>
      </c>
      <c r="B52" t="s">
        <v>122</v>
      </c>
      <c r="C52" t="s">
        <v>23</v>
      </c>
      <c r="D52" t="s">
        <v>58</v>
      </c>
      <c r="E52">
        <v>5</v>
      </c>
      <c r="F52">
        <v>8</v>
      </c>
      <c r="G52">
        <v>0.05</v>
      </c>
      <c r="H52">
        <v>38</v>
      </c>
      <c r="I52">
        <v>23</v>
      </c>
      <c r="J52" t="s">
        <v>20</v>
      </c>
      <c r="K52" t="s">
        <v>16</v>
      </c>
    </row>
    <row r="53" spans="1:11" x14ac:dyDescent="0.3">
      <c r="A53" t="s">
        <v>123</v>
      </c>
      <c r="B53" t="s">
        <v>124</v>
      </c>
      <c r="C53" t="s">
        <v>13</v>
      </c>
      <c r="D53" t="s">
        <v>67</v>
      </c>
      <c r="E53">
        <v>6</v>
      </c>
      <c r="F53">
        <v>35</v>
      </c>
      <c r="G53">
        <v>0</v>
      </c>
      <c r="H53">
        <v>210</v>
      </c>
      <c r="I53">
        <v>138</v>
      </c>
      <c r="J53" t="s">
        <v>44</v>
      </c>
      <c r="K53" t="s">
        <v>29</v>
      </c>
    </row>
    <row r="54" spans="1:11" x14ac:dyDescent="0.3">
      <c r="A54" t="s">
        <v>125</v>
      </c>
      <c r="B54" t="s">
        <v>124</v>
      </c>
      <c r="C54" t="s">
        <v>13</v>
      </c>
      <c r="D54" t="s">
        <v>67</v>
      </c>
      <c r="E54">
        <v>2</v>
      </c>
      <c r="F54">
        <v>35</v>
      </c>
      <c r="G54">
        <v>0.05</v>
      </c>
      <c r="H54">
        <v>66.5</v>
      </c>
      <c r="I54">
        <v>42.5</v>
      </c>
      <c r="J54" t="s">
        <v>44</v>
      </c>
      <c r="K54" t="s">
        <v>29</v>
      </c>
    </row>
    <row r="55" spans="1:11" x14ac:dyDescent="0.3">
      <c r="A55" t="s">
        <v>126</v>
      </c>
      <c r="B55" t="s">
        <v>127</v>
      </c>
      <c r="C55" t="s">
        <v>18</v>
      </c>
      <c r="D55" t="s">
        <v>128</v>
      </c>
      <c r="E55">
        <v>7</v>
      </c>
      <c r="F55">
        <v>350</v>
      </c>
      <c r="G55">
        <v>0</v>
      </c>
      <c r="H55">
        <v>2450</v>
      </c>
      <c r="I55">
        <v>1820</v>
      </c>
      <c r="J55" t="s">
        <v>15</v>
      </c>
      <c r="K55" t="s">
        <v>16</v>
      </c>
    </row>
    <row r="56" spans="1:11" x14ac:dyDescent="0.3">
      <c r="A56" t="s">
        <v>129</v>
      </c>
      <c r="B56" t="s">
        <v>130</v>
      </c>
      <c r="C56" t="s">
        <v>13</v>
      </c>
      <c r="D56" t="s">
        <v>67</v>
      </c>
      <c r="E56">
        <v>5</v>
      </c>
      <c r="F56">
        <v>35</v>
      </c>
      <c r="G56">
        <v>0</v>
      </c>
      <c r="H56">
        <v>175</v>
      </c>
      <c r="I56">
        <v>115</v>
      </c>
      <c r="J56" t="s">
        <v>28</v>
      </c>
      <c r="K56" t="s">
        <v>29</v>
      </c>
    </row>
    <row r="57" spans="1:11" x14ac:dyDescent="0.3">
      <c r="A57" t="s">
        <v>131</v>
      </c>
      <c r="B57" t="s">
        <v>132</v>
      </c>
      <c r="C57" t="s">
        <v>18</v>
      </c>
      <c r="D57" t="s">
        <v>77</v>
      </c>
      <c r="E57">
        <v>8</v>
      </c>
      <c r="F57">
        <v>1200</v>
      </c>
      <c r="G57">
        <v>0.15</v>
      </c>
      <c r="H57">
        <v>8160</v>
      </c>
      <c r="I57">
        <v>5760</v>
      </c>
      <c r="J57" t="s">
        <v>20</v>
      </c>
      <c r="K57" t="s">
        <v>29</v>
      </c>
    </row>
    <row r="58" spans="1:11" x14ac:dyDescent="0.3">
      <c r="A58" t="s">
        <v>133</v>
      </c>
      <c r="B58" t="s">
        <v>132</v>
      </c>
      <c r="C58" t="s">
        <v>23</v>
      </c>
      <c r="D58" t="s">
        <v>31</v>
      </c>
      <c r="E58">
        <v>6</v>
      </c>
      <c r="F58">
        <v>25</v>
      </c>
      <c r="G58">
        <v>0.1</v>
      </c>
      <c r="H58">
        <v>135</v>
      </c>
      <c r="I58">
        <v>87</v>
      </c>
      <c r="J58" t="s">
        <v>15</v>
      </c>
      <c r="K58" t="s">
        <v>29</v>
      </c>
    </row>
    <row r="59" spans="1:11" x14ac:dyDescent="0.3">
      <c r="A59" t="s">
        <v>134</v>
      </c>
      <c r="B59" t="s">
        <v>135</v>
      </c>
      <c r="C59" t="s">
        <v>18</v>
      </c>
      <c r="D59" t="s">
        <v>77</v>
      </c>
      <c r="E59">
        <v>5</v>
      </c>
      <c r="F59">
        <v>1200</v>
      </c>
      <c r="G59">
        <v>0</v>
      </c>
      <c r="H59">
        <v>6000</v>
      </c>
      <c r="I59">
        <v>4500</v>
      </c>
      <c r="J59" t="s">
        <v>44</v>
      </c>
      <c r="K59" t="s">
        <v>32</v>
      </c>
    </row>
    <row r="60" spans="1:11" x14ac:dyDescent="0.3">
      <c r="A60" t="s">
        <v>136</v>
      </c>
      <c r="B60" t="s">
        <v>137</v>
      </c>
      <c r="C60" t="s">
        <v>18</v>
      </c>
      <c r="D60" t="s">
        <v>61</v>
      </c>
      <c r="E60">
        <v>5</v>
      </c>
      <c r="F60">
        <v>25</v>
      </c>
      <c r="G60">
        <v>0</v>
      </c>
      <c r="H60">
        <v>125</v>
      </c>
      <c r="I60">
        <v>75</v>
      </c>
      <c r="J60" t="s">
        <v>15</v>
      </c>
      <c r="K60" t="s">
        <v>29</v>
      </c>
    </row>
    <row r="61" spans="1:11" x14ac:dyDescent="0.3">
      <c r="A61" t="s">
        <v>138</v>
      </c>
      <c r="B61" t="s">
        <v>139</v>
      </c>
      <c r="C61" t="s">
        <v>13</v>
      </c>
      <c r="D61" t="s">
        <v>41</v>
      </c>
      <c r="E61">
        <v>6</v>
      </c>
      <c r="F61">
        <v>450</v>
      </c>
      <c r="G61">
        <v>0.05</v>
      </c>
      <c r="H61">
        <v>2565</v>
      </c>
      <c r="I61">
        <v>1845</v>
      </c>
      <c r="J61" t="s">
        <v>15</v>
      </c>
      <c r="K61" t="s">
        <v>16</v>
      </c>
    </row>
    <row r="62" spans="1:11" x14ac:dyDescent="0.3">
      <c r="A62" t="s">
        <v>140</v>
      </c>
      <c r="B62" t="s">
        <v>139</v>
      </c>
      <c r="C62" t="s">
        <v>13</v>
      </c>
      <c r="D62" t="s">
        <v>41</v>
      </c>
      <c r="E62">
        <v>1</v>
      </c>
      <c r="F62">
        <v>450</v>
      </c>
      <c r="G62">
        <v>0.05</v>
      </c>
      <c r="H62">
        <v>427.5</v>
      </c>
      <c r="I62">
        <v>307.5</v>
      </c>
      <c r="J62" t="s">
        <v>20</v>
      </c>
      <c r="K62" t="s">
        <v>29</v>
      </c>
    </row>
    <row r="63" spans="1:11" x14ac:dyDescent="0.3">
      <c r="A63" t="s">
        <v>141</v>
      </c>
      <c r="B63" t="s">
        <v>142</v>
      </c>
      <c r="C63" t="s">
        <v>23</v>
      </c>
      <c r="D63" t="s">
        <v>24</v>
      </c>
      <c r="E63">
        <v>1</v>
      </c>
      <c r="F63">
        <v>10</v>
      </c>
      <c r="G63">
        <v>0.15</v>
      </c>
      <c r="H63">
        <v>8.5</v>
      </c>
      <c r="I63">
        <v>4.5</v>
      </c>
      <c r="J63" t="s">
        <v>20</v>
      </c>
      <c r="K63" t="s">
        <v>32</v>
      </c>
    </row>
    <row r="64" spans="1:11" x14ac:dyDescent="0.3">
      <c r="A64" t="s">
        <v>143</v>
      </c>
      <c r="B64" t="s">
        <v>144</v>
      </c>
      <c r="C64" t="s">
        <v>23</v>
      </c>
      <c r="D64" t="s">
        <v>58</v>
      </c>
      <c r="E64">
        <v>1</v>
      </c>
      <c r="F64">
        <v>8</v>
      </c>
      <c r="G64">
        <v>0</v>
      </c>
      <c r="H64">
        <v>8</v>
      </c>
      <c r="I64">
        <v>5</v>
      </c>
      <c r="J64" t="s">
        <v>44</v>
      </c>
      <c r="K64" t="s">
        <v>32</v>
      </c>
    </row>
    <row r="65" spans="1:11" x14ac:dyDescent="0.3">
      <c r="A65" t="s">
        <v>145</v>
      </c>
      <c r="B65" t="s">
        <v>144</v>
      </c>
      <c r="C65" t="s">
        <v>13</v>
      </c>
      <c r="D65" t="s">
        <v>51</v>
      </c>
      <c r="E65">
        <v>8</v>
      </c>
      <c r="F65">
        <v>250</v>
      </c>
      <c r="G65">
        <v>0.15</v>
      </c>
      <c r="H65">
        <v>1700</v>
      </c>
      <c r="I65">
        <v>1140</v>
      </c>
      <c r="J65" t="s">
        <v>15</v>
      </c>
      <c r="K65" t="s">
        <v>16</v>
      </c>
    </row>
    <row r="66" spans="1:11" x14ac:dyDescent="0.3">
      <c r="A66" t="s">
        <v>146</v>
      </c>
      <c r="B66" t="s">
        <v>147</v>
      </c>
      <c r="C66" t="s">
        <v>18</v>
      </c>
      <c r="D66" t="s">
        <v>61</v>
      </c>
      <c r="E66">
        <v>3</v>
      </c>
      <c r="F66">
        <v>25</v>
      </c>
      <c r="G66">
        <v>0.05</v>
      </c>
      <c r="H66">
        <v>71.25</v>
      </c>
      <c r="I66">
        <v>41.25</v>
      </c>
      <c r="J66" t="s">
        <v>44</v>
      </c>
      <c r="K66" t="s">
        <v>29</v>
      </c>
    </row>
    <row r="67" spans="1:11" x14ac:dyDescent="0.3">
      <c r="A67" t="s">
        <v>148</v>
      </c>
      <c r="B67" t="s">
        <v>149</v>
      </c>
      <c r="C67" t="s">
        <v>13</v>
      </c>
      <c r="D67" t="s">
        <v>41</v>
      </c>
      <c r="E67">
        <v>2</v>
      </c>
      <c r="F67">
        <v>450</v>
      </c>
      <c r="G67">
        <v>0</v>
      </c>
      <c r="H67">
        <v>900</v>
      </c>
      <c r="I67">
        <v>660</v>
      </c>
      <c r="J67" t="s">
        <v>44</v>
      </c>
      <c r="K67" t="s">
        <v>29</v>
      </c>
    </row>
    <row r="68" spans="1:11" x14ac:dyDescent="0.3">
      <c r="A68" t="s">
        <v>150</v>
      </c>
      <c r="B68" t="s">
        <v>151</v>
      </c>
      <c r="C68" t="s">
        <v>18</v>
      </c>
      <c r="D68" t="s">
        <v>27</v>
      </c>
      <c r="E68">
        <v>8</v>
      </c>
      <c r="F68">
        <v>80</v>
      </c>
      <c r="G68">
        <v>0.1</v>
      </c>
      <c r="H68">
        <v>576</v>
      </c>
      <c r="I68">
        <v>336</v>
      </c>
      <c r="J68" t="s">
        <v>28</v>
      </c>
      <c r="K68" t="s">
        <v>16</v>
      </c>
    </row>
    <row r="69" spans="1:11" x14ac:dyDescent="0.3">
      <c r="A69" t="s">
        <v>152</v>
      </c>
      <c r="B69" t="s">
        <v>151</v>
      </c>
      <c r="C69" t="s">
        <v>18</v>
      </c>
      <c r="D69" t="s">
        <v>77</v>
      </c>
      <c r="E69">
        <v>8</v>
      </c>
      <c r="F69">
        <v>1200</v>
      </c>
      <c r="G69">
        <v>0.1</v>
      </c>
      <c r="H69">
        <v>8640</v>
      </c>
      <c r="I69">
        <v>6240</v>
      </c>
      <c r="J69" t="s">
        <v>28</v>
      </c>
      <c r="K69" t="s">
        <v>29</v>
      </c>
    </row>
    <row r="70" spans="1:11" x14ac:dyDescent="0.3">
      <c r="A70" t="s">
        <v>153</v>
      </c>
      <c r="B70" t="s">
        <v>154</v>
      </c>
      <c r="C70" t="s">
        <v>13</v>
      </c>
      <c r="D70" t="s">
        <v>14</v>
      </c>
      <c r="E70">
        <v>1</v>
      </c>
      <c r="F70">
        <v>110</v>
      </c>
      <c r="G70">
        <v>0.05</v>
      </c>
      <c r="H70">
        <v>104.5</v>
      </c>
      <c r="I70">
        <v>74.5</v>
      </c>
      <c r="J70" t="s">
        <v>20</v>
      </c>
      <c r="K70" t="s">
        <v>16</v>
      </c>
    </row>
    <row r="71" spans="1:11" x14ac:dyDescent="0.3">
      <c r="A71" t="s">
        <v>155</v>
      </c>
      <c r="B71" t="s">
        <v>156</v>
      </c>
      <c r="C71" t="s">
        <v>13</v>
      </c>
      <c r="D71" t="s">
        <v>51</v>
      </c>
      <c r="E71">
        <v>4</v>
      </c>
      <c r="F71">
        <v>250</v>
      </c>
      <c r="G71">
        <v>0.1</v>
      </c>
      <c r="H71">
        <v>900</v>
      </c>
      <c r="I71">
        <v>620</v>
      </c>
      <c r="J71" t="s">
        <v>44</v>
      </c>
      <c r="K71" t="s">
        <v>32</v>
      </c>
    </row>
    <row r="72" spans="1:11" x14ac:dyDescent="0.3">
      <c r="A72" t="s">
        <v>157</v>
      </c>
      <c r="B72" t="s">
        <v>158</v>
      </c>
      <c r="C72" t="s">
        <v>13</v>
      </c>
      <c r="D72" t="s">
        <v>67</v>
      </c>
      <c r="E72">
        <v>9</v>
      </c>
      <c r="F72">
        <v>35</v>
      </c>
      <c r="G72">
        <v>0.1</v>
      </c>
      <c r="H72">
        <v>283.5</v>
      </c>
      <c r="I72">
        <v>175.5</v>
      </c>
      <c r="J72" t="s">
        <v>44</v>
      </c>
      <c r="K72" t="s">
        <v>32</v>
      </c>
    </row>
    <row r="73" spans="1:11" x14ac:dyDescent="0.3">
      <c r="A73" t="s">
        <v>159</v>
      </c>
      <c r="B73" t="s">
        <v>158</v>
      </c>
      <c r="C73" t="s">
        <v>23</v>
      </c>
      <c r="D73" t="s">
        <v>43</v>
      </c>
      <c r="E73">
        <v>3</v>
      </c>
      <c r="F73">
        <v>20</v>
      </c>
      <c r="G73">
        <v>0</v>
      </c>
      <c r="H73">
        <v>60</v>
      </c>
      <c r="I73">
        <v>39</v>
      </c>
      <c r="J73" t="s">
        <v>15</v>
      </c>
      <c r="K73" t="s">
        <v>16</v>
      </c>
    </row>
    <row r="74" spans="1:11" x14ac:dyDescent="0.3">
      <c r="A74" t="s">
        <v>160</v>
      </c>
      <c r="B74" t="s">
        <v>161</v>
      </c>
      <c r="C74" t="s">
        <v>13</v>
      </c>
      <c r="D74" t="s">
        <v>67</v>
      </c>
      <c r="E74">
        <v>5</v>
      </c>
      <c r="F74">
        <v>35</v>
      </c>
      <c r="G74">
        <v>0.1</v>
      </c>
      <c r="H74">
        <v>157.5</v>
      </c>
      <c r="I74">
        <v>97.5</v>
      </c>
      <c r="J74" t="s">
        <v>20</v>
      </c>
      <c r="K74" t="s">
        <v>29</v>
      </c>
    </row>
    <row r="75" spans="1:11" x14ac:dyDescent="0.3">
      <c r="A75" t="s">
        <v>162</v>
      </c>
      <c r="B75" t="s">
        <v>163</v>
      </c>
      <c r="C75" t="s">
        <v>18</v>
      </c>
      <c r="D75" t="s">
        <v>61</v>
      </c>
      <c r="E75">
        <v>7</v>
      </c>
      <c r="F75">
        <v>25</v>
      </c>
      <c r="G75">
        <v>0.2</v>
      </c>
      <c r="H75">
        <v>140</v>
      </c>
      <c r="I75">
        <v>70</v>
      </c>
      <c r="J75" t="s">
        <v>15</v>
      </c>
      <c r="K75" t="s">
        <v>29</v>
      </c>
    </row>
    <row r="76" spans="1:11" x14ac:dyDescent="0.3">
      <c r="A76" t="s">
        <v>164</v>
      </c>
      <c r="B76" t="s">
        <v>163</v>
      </c>
      <c r="C76" t="s">
        <v>13</v>
      </c>
      <c r="D76" t="s">
        <v>38</v>
      </c>
      <c r="E76">
        <v>2</v>
      </c>
      <c r="F76">
        <v>150</v>
      </c>
      <c r="G76">
        <v>0.2</v>
      </c>
      <c r="H76">
        <v>240</v>
      </c>
      <c r="I76">
        <v>160</v>
      </c>
      <c r="J76" t="s">
        <v>20</v>
      </c>
      <c r="K76" t="s">
        <v>32</v>
      </c>
    </row>
    <row r="77" spans="1:11" x14ac:dyDescent="0.3">
      <c r="A77" t="s">
        <v>165</v>
      </c>
      <c r="B77" t="s">
        <v>166</v>
      </c>
      <c r="C77" t="s">
        <v>23</v>
      </c>
      <c r="D77" t="s">
        <v>31</v>
      </c>
      <c r="E77">
        <v>8</v>
      </c>
      <c r="F77">
        <v>25</v>
      </c>
      <c r="G77">
        <v>0</v>
      </c>
      <c r="H77">
        <v>200</v>
      </c>
      <c r="I77">
        <v>136</v>
      </c>
      <c r="J77" t="s">
        <v>28</v>
      </c>
      <c r="K77" t="s">
        <v>29</v>
      </c>
    </row>
    <row r="78" spans="1:11" x14ac:dyDescent="0.3">
      <c r="A78" t="s">
        <v>167</v>
      </c>
      <c r="B78" t="s">
        <v>168</v>
      </c>
      <c r="C78" t="s">
        <v>18</v>
      </c>
      <c r="D78" t="s">
        <v>19</v>
      </c>
      <c r="E78">
        <v>6</v>
      </c>
      <c r="F78">
        <v>40</v>
      </c>
      <c r="G78">
        <v>0.2</v>
      </c>
      <c r="H78">
        <v>192</v>
      </c>
      <c r="I78">
        <v>102</v>
      </c>
      <c r="J78" t="s">
        <v>44</v>
      </c>
      <c r="K78" t="s">
        <v>16</v>
      </c>
    </row>
    <row r="79" spans="1:11" x14ac:dyDescent="0.3">
      <c r="A79" t="s">
        <v>169</v>
      </c>
      <c r="B79" t="s">
        <v>170</v>
      </c>
      <c r="C79" t="s">
        <v>23</v>
      </c>
      <c r="D79" t="s">
        <v>35</v>
      </c>
      <c r="E79">
        <v>4</v>
      </c>
      <c r="F79">
        <v>15</v>
      </c>
      <c r="G79">
        <v>0</v>
      </c>
      <c r="H79">
        <v>60</v>
      </c>
      <c r="I79">
        <v>40</v>
      </c>
      <c r="J79" t="s">
        <v>20</v>
      </c>
      <c r="K79" t="s">
        <v>29</v>
      </c>
    </row>
    <row r="80" spans="1:11" x14ac:dyDescent="0.3">
      <c r="A80" t="s">
        <v>171</v>
      </c>
      <c r="B80" t="s">
        <v>170</v>
      </c>
      <c r="C80" t="s">
        <v>13</v>
      </c>
      <c r="D80" t="s">
        <v>38</v>
      </c>
      <c r="E80">
        <v>3</v>
      </c>
      <c r="F80">
        <v>150</v>
      </c>
      <c r="G80">
        <v>0</v>
      </c>
      <c r="H80">
        <v>450</v>
      </c>
      <c r="I80">
        <v>330</v>
      </c>
      <c r="J80" t="s">
        <v>44</v>
      </c>
      <c r="K80" t="s">
        <v>16</v>
      </c>
    </row>
    <row r="81" spans="1:11" x14ac:dyDescent="0.3">
      <c r="A81" t="s">
        <v>172</v>
      </c>
      <c r="B81" t="s">
        <v>173</v>
      </c>
      <c r="C81" t="s">
        <v>13</v>
      </c>
      <c r="D81" t="s">
        <v>41</v>
      </c>
      <c r="E81">
        <v>4</v>
      </c>
      <c r="F81">
        <v>450</v>
      </c>
      <c r="G81">
        <v>0</v>
      </c>
      <c r="H81">
        <v>1800</v>
      </c>
      <c r="I81">
        <v>1320</v>
      </c>
      <c r="J81" t="s">
        <v>15</v>
      </c>
      <c r="K81" t="s">
        <v>29</v>
      </c>
    </row>
    <row r="82" spans="1:11" x14ac:dyDescent="0.3">
      <c r="A82" t="s">
        <v>174</v>
      </c>
      <c r="B82" t="s">
        <v>175</v>
      </c>
      <c r="C82" t="s">
        <v>23</v>
      </c>
      <c r="D82" t="s">
        <v>31</v>
      </c>
      <c r="E82">
        <v>9</v>
      </c>
      <c r="F82">
        <v>25</v>
      </c>
      <c r="G82">
        <v>0</v>
      </c>
      <c r="H82">
        <v>225</v>
      </c>
      <c r="I82">
        <v>153</v>
      </c>
      <c r="J82" t="s">
        <v>15</v>
      </c>
      <c r="K82" t="s">
        <v>32</v>
      </c>
    </row>
    <row r="83" spans="1:11" x14ac:dyDescent="0.3">
      <c r="A83" t="s">
        <v>176</v>
      </c>
      <c r="B83" t="s">
        <v>177</v>
      </c>
      <c r="C83" t="s">
        <v>18</v>
      </c>
      <c r="D83" t="s">
        <v>61</v>
      </c>
      <c r="E83">
        <v>5</v>
      </c>
      <c r="F83">
        <v>25</v>
      </c>
      <c r="G83">
        <v>0</v>
      </c>
      <c r="H83">
        <v>125</v>
      </c>
      <c r="I83">
        <v>75</v>
      </c>
      <c r="J83" t="s">
        <v>28</v>
      </c>
      <c r="K83" t="s">
        <v>32</v>
      </c>
    </row>
    <row r="84" spans="1:11" x14ac:dyDescent="0.3">
      <c r="A84" t="s">
        <v>178</v>
      </c>
      <c r="B84" t="s">
        <v>177</v>
      </c>
      <c r="C84" t="s">
        <v>18</v>
      </c>
      <c r="D84" t="s">
        <v>27</v>
      </c>
      <c r="E84">
        <v>4</v>
      </c>
      <c r="F84">
        <v>80</v>
      </c>
      <c r="G84">
        <v>0</v>
      </c>
      <c r="H84">
        <v>320</v>
      </c>
      <c r="I84">
        <v>200</v>
      </c>
      <c r="J84" t="s">
        <v>15</v>
      </c>
      <c r="K84" t="s">
        <v>16</v>
      </c>
    </row>
    <row r="85" spans="1:11" x14ac:dyDescent="0.3">
      <c r="A85" t="s">
        <v>179</v>
      </c>
      <c r="B85" t="s">
        <v>180</v>
      </c>
      <c r="C85" t="s">
        <v>18</v>
      </c>
      <c r="D85" t="s">
        <v>77</v>
      </c>
      <c r="E85">
        <v>5</v>
      </c>
      <c r="F85">
        <v>1200</v>
      </c>
      <c r="G85">
        <v>0.05</v>
      </c>
      <c r="H85">
        <v>5700</v>
      </c>
      <c r="I85">
        <v>4200</v>
      </c>
      <c r="J85" t="s">
        <v>44</v>
      </c>
      <c r="K85" t="s">
        <v>29</v>
      </c>
    </row>
    <row r="86" spans="1:11" x14ac:dyDescent="0.3">
      <c r="A86" t="s">
        <v>181</v>
      </c>
      <c r="B86" t="s">
        <v>182</v>
      </c>
      <c r="C86" t="s">
        <v>23</v>
      </c>
      <c r="D86" t="s">
        <v>24</v>
      </c>
      <c r="E86">
        <v>8</v>
      </c>
      <c r="F86">
        <v>10</v>
      </c>
      <c r="G86">
        <v>0</v>
      </c>
      <c r="H86">
        <v>80</v>
      </c>
      <c r="I86">
        <v>48</v>
      </c>
      <c r="J86" t="s">
        <v>15</v>
      </c>
      <c r="K86" t="s">
        <v>16</v>
      </c>
    </row>
    <row r="87" spans="1:11" x14ac:dyDescent="0.3">
      <c r="A87" t="s">
        <v>183</v>
      </c>
      <c r="B87" t="s">
        <v>184</v>
      </c>
      <c r="C87" t="s">
        <v>18</v>
      </c>
      <c r="D87" t="s">
        <v>128</v>
      </c>
      <c r="E87">
        <v>8</v>
      </c>
      <c r="F87">
        <v>350</v>
      </c>
      <c r="G87">
        <v>0</v>
      </c>
      <c r="H87">
        <v>2800</v>
      </c>
      <c r="I87">
        <v>2080</v>
      </c>
      <c r="J87" t="s">
        <v>20</v>
      </c>
      <c r="K87" t="s">
        <v>16</v>
      </c>
    </row>
    <row r="88" spans="1:11" x14ac:dyDescent="0.3">
      <c r="A88" t="s">
        <v>185</v>
      </c>
      <c r="B88" t="s">
        <v>184</v>
      </c>
      <c r="C88" t="s">
        <v>23</v>
      </c>
      <c r="D88" t="s">
        <v>58</v>
      </c>
      <c r="E88">
        <v>6</v>
      </c>
      <c r="F88">
        <v>8</v>
      </c>
      <c r="G88">
        <v>0</v>
      </c>
      <c r="H88">
        <v>48</v>
      </c>
      <c r="I88">
        <v>30</v>
      </c>
      <c r="J88" t="s">
        <v>15</v>
      </c>
      <c r="K88" t="s">
        <v>29</v>
      </c>
    </row>
    <row r="89" spans="1:11" x14ac:dyDescent="0.3">
      <c r="A89" t="s">
        <v>186</v>
      </c>
      <c r="B89" t="s">
        <v>187</v>
      </c>
      <c r="C89" t="s">
        <v>13</v>
      </c>
      <c r="D89" t="s">
        <v>14</v>
      </c>
      <c r="E89">
        <v>3</v>
      </c>
      <c r="F89">
        <v>110</v>
      </c>
      <c r="G89">
        <v>0.1</v>
      </c>
      <c r="H89">
        <v>297</v>
      </c>
      <c r="I89">
        <v>207</v>
      </c>
      <c r="J89" t="s">
        <v>28</v>
      </c>
      <c r="K89" t="s">
        <v>29</v>
      </c>
    </row>
    <row r="90" spans="1:11" x14ac:dyDescent="0.3">
      <c r="A90" t="s">
        <v>188</v>
      </c>
      <c r="B90" t="s">
        <v>189</v>
      </c>
      <c r="C90" t="s">
        <v>13</v>
      </c>
      <c r="D90" t="s">
        <v>41</v>
      </c>
      <c r="E90">
        <v>8</v>
      </c>
      <c r="F90">
        <v>450</v>
      </c>
      <c r="H90">
        <v>3060</v>
      </c>
      <c r="I90">
        <v>2100</v>
      </c>
      <c r="J90" t="s">
        <v>20</v>
      </c>
      <c r="K90" t="s">
        <v>16</v>
      </c>
    </row>
    <row r="91" spans="1:11" x14ac:dyDescent="0.3">
      <c r="A91" t="s">
        <v>190</v>
      </c>
      <c r="B91" t="s">
        <v>189</v>
      </c>
      <c r="C91" t="s">
        <v>13</v>
      </c>
      <c r="D91" t="s">
        <v>51</v>
      </c>
      <c r="E91">
        <v>2</v>
      </c>
      <c r="F91">
        <v>250</v>
      </c>
      <c r="G91">
        <v>0.2</v>
      </c>
      <c r="H91">
        <v>400</v>
      </c>
      <c r="I91">
        <v>260</v>
      </c>
      <c r="J91" t="s">
        <v>15</v>
      </c>
      <c r="K91" t="s">
        <v>29</v>
      </c>
    </row>
    <row r="92" spans="1:11" x14ac:dyDescent="0.3">
      <c r="A92" t="s">
        <v>191</v>
      </c>
      <c r="B92" t="s">
        <v>192</v>
      </c>
      <c r="C92" t="s">
        <v>13</v>
      </c>
      <c r="D92" t="s">
        <v>38</v>
      </c>
      <c r="E92">
        <v>1</v>
      </c>
      <c r="F92">
        <v>150</v>
      </c>
      <c r="G92">
        <v>0.1</v>
      </c>
      <c r="H92">
        <v>135</v>
      </c>
      <c r="I92">
        <v>95</v>
      </c>
      <c r="J92" t="s">
        <v>44</v>
      </c>
      <c r="K92" t="s">
        <v>29</v>
      </c>
    </row>
    <row r="93" spans="1:11" x14ac:dyDescent="0.3">
      <c r="A93" t="s">
        <v>193</v>
      </c>
      <c r="B93" t="s">
        <v>194</v>
      </c>
      <c r="C93" t="s">
        <v>18</v>
      </c>
      <c r="D93" t="s">
        <v>128</v>
      </c>
      <c r="E93">
        <v>1</v>
      </c>
      <c r="F93">
        <v>350</v>
      </c>
      <c r="G93">
        <v>0.05</v>
      </c>
      <c r="H93">
        <v>332.5</v>
      </c>
      <c r="I93">
        <v>242.5</v>
      </c>
      <c r="J93" t="s">
        <v>20</v>
      </c>
      <c r="K93" t="s">
        <v>32</v>
      </c>
    </row>
    <row r="94" spans="1:11" x14ac:dyDescent="0.3">
      <c r="A94" t="s">
        <v>195</v>
      </c>
      <c r="B94" t="s">
        <v>196</v>
      </c>
      <c r="C94" t="s">
        <v>13</v>
      </c>
      <c r="D94" t="s">
        <v>14</v>
      </c>
      <c r="E94">
        <v>5</v>
      </c>
      <c r="F94">
        <v>110</v>
      </c>
      <c r="G94">
        <v>0.1</v>
      </c>
      <c r="H94">
        <v>495</v>
      </c>
      <c r="I94">
        <v>345</v>
      </c>
      <c r="J94" t="s">
        <v>44</v>
      </c>
      <c r="K94" t="s">
        <v>16</v>
      </c>
    </row>
    <row r="95" spans="1:11" x14ac:dyDescent="0.3">
      <c r="A95" t="s">
        <v>197</v>
      </c>
      <c r="B95" t="s">
        <v>196</v>
      </c>
      <c r="C95" t="s">
        <v>18</v>
      </c>
      <c r="D95" t="s">
        <v>77</v>
      </c>
      <c r="E95">
        <v>3</v>
      </c>
      <c r="F95">
        <v>1200</v>
      </c>
      <c r="G95">
        <v>0</v>
      </c>
      <c r="H95">
        <v>3600</v>
      </c>
      <c r="I95">
        <v>2700</v>
      </c>
      <c r="J95" t="s">
        <v>15</v>
      </c>
      <c r="K95" t="s">
        <v>32</v>
      </c>
    </row>
    <row r="96" spans="1:11" x14ac:dyDescent="0.3">
      <c r="A96" t="s">
        <v>198</v>
      </c>
      <c r="B96" t="s">
        <v>199</v>
      </c>
      <c r="C96" t="s">
        <v>23</v>
      </c>
      <c r="D96" t="s">
        <v>24</v>
      </c>
      <c r="E96">
        <v>8</v>
      </c>
      <c r="F96">
        <v>10</v>
      </c>
      <c r="G96">
        <v>0</v>
      </c>
      <c r="H96">
        <v>80</v>
      </c>
      <c r="I96">
        <v>48</v>
      </c>
      <c r="J96" t="s">
        <v>44</v>
      </c>
      <c r="K96" t="s">
        <v>29</v>
      </c>
    </row>
    <row r="97" spans="1:11" x14ac:dyDescent="0.3">
      <c r="A97" t="s">
        <v>200</v>
      </c>
      <c r="B97" t="s">
        <v>201</v>
      </c>
      <c r="C97" t="s">
        <v>23</v>
      </c>
      <c r="D97" t="s">
        <v>24</v>
      </c>
      <c r="E97">
        <v>1</v>
      </c>
      <c r="F97">
        <v>10</v>
      </c>
      <c r="G97">
        <v>0.05</v>
      </c>
      <c r="H97">
        <v>9.5</v>
      </c>
      <c r="I97">
        <v>5.5</v>
      </c>
      <c r="J97" t="s">
        <v>20</v>
      </c>
      <c r="K97" t="s">
        <v>32</v>
      </c>
    </row>
    <row r="98" spans="1:11" x14ac:dyDescent="0.3">
      <c r="A98" t="s">
        <v>202</v>
      </c>
      <c r="B98" t="s">
        <v>203</v>
      </c>
      <c r="C98" t="s">
        <v>13</v>
      </c>
      <c r="D98" t="s">
        <v>14</v>
      </c>
      <c r="E98">
        <v>5</v>
      </c>
      <c r="F98">
        <v>110</v>
      </c>
      <c r="G98">
        <v>0.05</v>
      </c>
      <c r="H98">
        <v>522.5</v>
      </c>
      <c r="I98">
        <v>372.5</v>
      </c>
      <c r="J98" t="s">
        <v>28</v>
      </c>
      <c r="K98" t="s">
        <v>32</v>
      </c>
    </row>
    <row r="99" spans="1:11" x14ac:dyDescent="0.3">
      <c r="A99" t="s">
        <v>204</v>
      </c>
      <c r="B99" t="s">
        <v>203</v>
      </c>
      <c r="C99" t="s">
        <v>13</v>
      </c>
      <c r="D99" t="s">
        <v>41</v>
      </c>
      <c r="E99">
        <v>6</v>
      </c>
      <c r="F99">
        <v>450</v>
      </c>
      <c r="G99">
        <v>0.05</v>
      </c>
      <c r="H99">
        <v>2565</v>
      </c>
      <c r="I99">
        <v>1845</v>
      </c>
      <c r="J99" t="s">
        <v>20</v>
      </c>
      <c r="K99" t="s">
        <v>29</v>
      </c>
    </row>
    <row r="100" spans="1:11" x14ac:dyDescent="0.3">
      <c r="A100" t="s">
        <v>205</v>
      </c>
      <c r="B100" t="s">
        <v>206</v>
      </c>
      <c r="C100" t="s">
        <v>18</v>
      </c>
      <c r="D100" t="s">
        <v>61</v>
      </c>
      <c r="E100">
        <v>4</v>
      </c>
      <c r="F100">
        <v>25</v>
      </c>
      <c r="G100">
        <v>0.05</v>
      </c>
      <c r="H100">
        <v>95</v>
      </c>
      <c r="I100">
        <v>55</v>
      </c>
      <c r="J100" t="s">
        <v>44</v>
      </c>
      <c r="K100" t="s">
        <v>32</v>
      </c>
    </row>
    <row r="101" spans="1:11" x14ac:dyDescent="0.3">
      <c r="A101" t="s">
        <v>207</v>
      </c>
      <c r="B101" t="s">
        <v>208</v>
      </c>
      <c r="C101" t="s">
        <v>18</v>
      </c>
      <c r="D101" t="s">
        <v>61</v>
      </c>
      <c r="E101">
        <v>3</v>
      </c>
      <c r="F101">
        <v>25</v>
      </c>
      <c r="G101">
        <v>0.05</v>
      </c>
      <c r="H101">
        <v>71.25</v>
      </c>
      <c r="I101">
        <v>41.25</v>
      </c>
      <c r="J101" t="s">
        <v>20</v>
      </c>
      <c r="K101" t="s">
        <v>29</v>
      </c>
    </row>
    <row r="102" spans="1:11" x14ac:dyDescent="0.3">
      <c r="A102" t="s">
        <v>209</v>
      </c>
      <c r="B102" t="s">
        <v>208</v>
      </c>
      <c r="C102" t="s">
        <v>23</v>
      </c>
      <c r="D102" t="s">
        <v>35</v>
      </c>
      <c r="E102">
        <v>4</v>
      </c>
      <c r="F102">
        <v>15</v>
      </c>
      <c r="G102">
        <v>0</v>
      </c>
      <c r="H102">
        <v>60</v>
      </c>
      <c r="I102">
        <v>40</v>
      </c>
      <c r="J102" t="s">
        <v>28</v>
      </c>
      <c r="K102" t="s">
        <v>29</v>
      </c>
    </row>
    <row r="103" spans="1:11" x14ac:dyDescent="0.3">
      <c r="A103" t="s">
        <v>210</v>
      </c>
      <c r="B103" t="s">
        <v>211</v>
      </c>
      <c r="C103" t="s">
        <v>18</v>
      </c>
      <c r="D103" t="s">
        <v>27</v>
      </c>
      <c r="E103">
        <v>3</v>
      </c>
      <c r="F103">
        <v>80</v>
      </c>
      <c r="G103">
        <v>0.05</v>
      </c>
      <c r="H103">
        <v>228</v>
      </c>
      <c r="I103">
        <v>138</v>
      </c>
      <c r="J103" t="s">
        <v>44</v>
      </c>
      <c r="K103" t="s">
        <v>29</v>
      </c>
    </row>
    <row r="104" spans="1:11" x14ac:dyDescent="0.3">
      <c r="A104" t="s">
        <v>212</v>
      </c>
      <c r="B104" t="s">
        <v>213</v>
      </c>
      <c r="C104" t="s">
        <v>13</v>
      </c>
      <c r="D104" t="s">
        <v>67</v>
      </c>
      <c r="E104">
        <v>8</v>
      </c>
      <c r="F104">
        <v>35</v>
      </c>
      <c r="G104">
        <v>0.05</v>
      </c>
      <c r="H104">
        <v>266</v>
      </c>
      <c r="I104">
        <v>170</v>
      </c>
      <c r="J104" t="s">
        <v>44</v>
      </c>
      <c r="K104" t="s">
        <v>32</v>
      </c>
    </row>
    <row r="105" spans="1:11" x14ac:dyDescent="0.3">
      <c r="A105" t="s">
        <v>214</v>
      </c>
      <c r="B105" t="s">
        <v>215</v>
      </c>
      <c r="C105" t="s">
        <v>13</v>
      </c>
      <c r="D105" t="s">
        <v>41</v>
      </c>
      <c r="E105">
        <v>3</v>
      </c>
      <c r="F105">
        <v>450</v>
      </c>
      <c r="G105">
        <v>0</v>
      </c>
      <c r="H105">
        <v>1350</v>
      </c>
      <c r="I105">
        <v>990</v>
      </c>
      <c r="J105" t="s">
        <v>15</v>
      </c>
      <c r="K105" t="s">
        <v>16</v>
      </c>
    </row>
    <row r="106" spans="1:11" x14ac:dyDescent="0.3">
      <c r="A106" t="s">
        <v>216</v>
      </c>
      <c r="B106" t="s">
        <v>215</v>
      </c>
      <c r="C106" t="s">
        <v>18</v>
      </c>
      <c r="D106" t="s">
        <v>19</v>
      </c>
      <c r="E106">
        <v>6</v>
      </c>
      <c r="F106">
        <v>40</v>
      </c>
      <c r="G106">
        <v>0</v>
      </c>
      <c r="H106">
        <v>240</v>
      </c>
      <c r="I106">
        <v>150</v>
      </c>
      <c r="J106" t="s">
        <v>44</v>
      </c>
      <c r="K106" t="s">
        <v>16</v>
      </c>
    </row>
    <row r="107" spans="1:11" x14ac:dyDescent="0.3">
      <c r="A107" t="s">
        <v>217</v>
      </c>
      <c r="B107" t="s">
        <v>218</v>
      </c>
      <c r="C107" t="s">
        <v>13</v>
      </c>
      <c r="D107" t="s">
        <v>41</v>
      </c>
      <c r="E107">
        <v>9</v>
      </c>
      <c r="F107">
        <v>450</v>
      </c>
      <c r="G107">
        <v>0</v>
      </c>
      <c r="H107">
        <v>4050</v>
      </c>
      <c r="I107">
        <v>2970</v>
      </c>
      <c r="J107" t="s">
        <v>44</v>
      </c>
      <c r="K107" t="s">
        <v>29</v>
      </c>
    </row>
    <row r="108" spans="1:11" x14ac:dyDescent="0.3">
      <c r="A108" t="s">
        <v>219</v>
      </c>
      <c r="B108" t="s">
        <v>220</v>
      </c>
      <c r="C108" t="s">
        <v>13</v>
      </c>
      <c r="D108" t="s">
        <v>38</v>
      </c>
      <c r="E108">
        <v>1</v>
      </c>
      <c r="F108">
        <v>150</v>
      </c>
      <c r="G108">
        <v>0</v>
      </c>
      <c r="H108">
        <v>150</v>
      </c>
      <c r="I108">
        <v>110</v>
      </c>
      <c r="J108" t="s">
        <v>28</v>
      </c>
      <c r="K108" t="s">
        <v>29</v>
      </c>
    </row>
    <row r="109" spans="1:11" x14ac:dyDescent="0.3">
      <c r="A109" t="s">
        <v>221</v>
      </c>
      <c r="B109" t="s">
        <v>222</v>
      </c>
      <c r="C109" t="s">
        <v>18</v>
      </c>
      <c r="D109" t="s">
        <v>61</v>
      </c>
      <c r="E109">
        <v>7</v>
      </c>
      <c r="F109">
        <v>25</v>
      </c>
      <c r="G109">
        <v>0.05</v>
      </c>
      <c r="H109">
        <v>166.25</v>
      </c>
      <c r="I109">
        <v>96.25</v>
      </c>
      <c r="J109" t="s">
        <v>20</v>
      </c>
      <c r="K109" t="s">
        <v>16</v>
      </c>
    </row>
    <row r="110" spans="1:11" x14ac:dyDescent="0.3">
      <c r="A110" t="s">
        <v>223</v>
      </c>
      <c r="B110" t="s">
        <v>222</v>
      </c>
      <c r="C110" t="s">
        <v>18</v>
      </c>
      <c r="D110" t="s">
        <v>27</v>
      </c>
      <c r="E110">
        <v>7</v>
      </c>
      <c r="F110">
        <v>80</v>
      </c>
      <c r="G110">
        <v>0.05</v>
      </c>
      <c r="H110">
        <v>532</v>
      </c>
      <c r="I110">
        <v>322</v>
      </c>
      <c r="J110" t="s">
        <v>28</v>
      </c>
      <c r="K110" t="s">
        <v>29</v>
      </c>
    </row>
    <row r="111" spans="1:11" x14ac:dyDescent="0.3">
      <c r="A111" t="s">
        <v>224</v>
      </c>
      <c r="B111" t="s">
        <v>225</v>
      </c>
      <c r="C111" t="s">
        <v>18</v>
      </c>
      <c r="D111" t="s">
        <v>61</v>
      </c>
      <c r="E111">
        <v>6</v>
      </c>
      <c r="F111">
        <v>25</v>
      </c>
      <c r="G111">
        <v>0.05</v>
      </c>
      <c r="H111">
        <v>142.5</v>
      </c>
      <c r="I111">
        <v>82.5</v>
      </c>
      <c r="J111" t="s">
        <v>15</v>
      </c>
      <c r="K111" t="s">
        <v>16</v>
      </c>
    </row>
    <row r="112" spans="1:11" x14ac:dyDescent="0.3">
      <c r="A112" t="s">
        <v>226</v>
      </c>
      <c r="B112" t="s">
        <v>227</v>
      </c>
      <c r="C112" t="s">
        <v>13</v>
      </c>
      <c r="D112" t="s">
        <v>41</v>
      </c>
      <c r="E112">
        <v>7</v>
      </c>
      <c r="F112">
        <v>450</v>
      </c>
      <c r="G112">
        <v>0</v>
      </c>
      <c r="H112">
        <v>3150</v>
      </c>
      <c r="I112">
        <v>2310</v>
      </c>
      <c r="J112" t="s">
        <v>15</v>
      </c>
      <c r="K112" t="s">
        <v>16</v>
      </c>
    </row>
    <row r="113" spans="1:11" x14ac:dyDescent="0.3">
      <c r="A113" t="s">
        <v>228</v>
      </c>
      <c r="B113" t="s">
        <v>227</v>
      </c>
      <c r="C113" t="s">
        <v>18</v>
      </c>
      <c r="D113" t="s">
        <v>77</v>
      </c>
      <c r="E113">
        <v>4</v>
      </c>
      <c r="F113">
        <v>1200</v>
      </c>
      <c r="G113">
        <v>0</v>
      </c>
      <c r="H113">
        <v>4800</v>
      </c>
      <c r="I113">
        <v>3600</v>
      </c>
      <c r="J113" t="s">
        <v>44</v>
      </c>
      <c r="K113" t="s">
        <v>29</v>
      </c>
    </row>
    <row r="114" spans="1:11" x14ac:dyDescent="0.3">
      <c r="A114" t="s">
        <v>229</v>
      </c>
      <c r="B114" t="s">
        <v>230</v>
      </c>
      <c r="C114" t="s">
        <v>13</v>
      </c>
      <c r="D114" t="s">
        <v>67</v>
      </c>
      <c r="E114">
        <v>6</v>
      </c>
      <c r="F114">
        <v>35</v>
      </c>
      <c r="G114">
        <v>0.05</v>
      </c>
      <c r="H114">
        <v>199.5</v>
      </c>
      <c r="I114">
        <v>127.5</v>
      </c>
      <c r="J114" t="s">
        <v>20</v>
      </c>
      <c r="K114" t="s">
        <v>29</v>
      </c>
    </row>
    <row r="115" spans="1:11" x14ac:dyDescent="0.3">
      <c r="A115" t="s">
        <v>231</v>
      </c>
      <c r="B115" t="s">
        <v>232</v>
      </c>
      <c r="C115" t="s">
        <v>18</v>
      </c>
      <c r="D115" t="s">
        <v>77</v>
      </c>
      <c r="E115">
        <v>5</v>
      </c>
      <c r="F115">
        <v>1200</v>
      </c>
      <c r="G115">
        <v>0</v>
      </c>
      <c r="H115">
        <v>6000</v>
      </c>
      <c r="I115">
        <v>4500</v>
      </c>
      <c r="J115" t="s">
        <v>20</v>
      </c>
      <c r="K115" t="s">
        <v>29</v>
      </c>
    </row>
    <row r="116" spans="1:11" x14ac:dyDescent="0.3">
      <c r="A116" t="s">
        <v>233</v>
      </c>
      <c r="B116" t="s">
        <v>234</v>
      </c>
      <c r="C116" t="s">
        <v>13</v>
      </c>
      <c r="D116" t="s">
        <v>14</v>
      </c>
      <c r="E116">
        <v>6</v>
      </c>
      <c r="F116">
        <v>110</v>
      </c>
      <c r="G116">
        <v>0.05</v>
      </c>
      <c r="H116">
        <v>627</v>
      </c>
      <c r="I116">
        <v>447</v>
      </c>
      <c r="J116" t="s">
        <v>15</v>
      </c>
      <c r="K116" t="s">
        <v>16</v>
      </c>
    </row>
    <row r="117" spans="1:11" x14ac:dyDescent="0.3">
      <c r="A117" t="s">
        <v>235</v>
      </c>
      <c r="B117" t="s">
        <v>234</v>
      </c>
      <c r="C117" t="s">
        <v>18</v>
      </c>
      <c r="D117" t="s">
        <v>128</v>
      </c>
      <c r="E117">
        <v>8</v>
      </c>
      <c r="F117">
        <v>350</v>
      </c>
      <c r="G117">
        <v>0.15</v>
      </c>
      <c r="H117">
        <v>2380</v>
      </c>
      <c r="I117">
        <v>1660</v>
      </c>
      <c r="J117" t="s">
        <v>15</v>
      </c>
      <c r="K117" t="s">
        <v>29</v>
      </c>
    </row>
    <row r="118" spans="1:11" x14ac:dyDescent="0.3">
      <c r="A118" t="s">
        <v>236</v>
      </c>
      <c r="B118" t="s">
        <v>237</v>
      </c>
      <c r="C118" t="s">
        <v>13</v>
      </c>
      <c r="D118" t="s">
        <v>67</v>
      </c>
      <c r="E118">
        <v>8</v>
      </c>
      <c r="F118">
        <v>35</v>
      </c>
      <c r="G118">
        <v>0</v>
      </c>
      <c r="H118">
        <v>280</v>
      </c>
      <c r="I118">
        <v>184</v>
      </c>
      <c r="J118" t="s">
        <v>44</v>
      </c>
      <c r="K118" t="s">
        <v>32</v>
      </c>
    </row>
    <row r="119" spans="1:11" x14ac:dyDescent="0.3">
      <c r="A119" t="s">
        <v>238</v>
      </c>
      <c r="B119" t="s">
        <v>239</v>
      </c>
      <c r="C119" t="s">
        <v>23</v>
      </c>
      <c r="D119" t="s">
        <v>35</v>
      </c>
      <c r="E119">
        <v>8</v>
      </c>
      <c r="F119">
        <v>15</v>
      </c>
      <c r="G119">
        <v>0.1</v>
      </c>
      <c r="H119">
        <v>108</v>
      </c>
      <c r="I119">
        <v>68</v>
      </c>
      <c r="J119" t="s">
        <v>28</v>
      </c>
      <c r="K119" t="s">
        <v>29</v>
      </c>
    </row>
    <row r="120" spans="1:11" x14ac:dyDescent="0.3">
      <c r="A120" t="s">
        <v>240</v>
      </c>
      <c r="B120" t="s">
        <v>241</v>
      </c>
      <c r="C120" t="s">
        <v>13</v>
      </c>
      <c r="D120" t="s">
        <v>41</v>
      </c>
      <c r="E120">
        <v>3</v>
      </c>
      <c r="F120">
        <v>450</v>
      </c>
      <c r="G120">
        <v>0.1</v>
      </c>
      <c r="H120">
        <v>1215</v>
      </c>
      <c r="I120">
        <v>855</v>
      </c>
      <c r="J120" t="s">
        <v>15</v>
      </c>
      <c r="K120" t="s">
        <v>32</v>
      </c>
    </row>
    <row r="121" spans="1:11" x14ac:dyDescent="0.3">
      <c r="A121" t="s">
        <v>242</v>
      </c>
      <c r="B121" t="s">
        <v>241</v>
      </c>
      <c r="C121" t="s">
        <v>23</v>
      </c>
      <c r="D121" t="s">
        <v>43</v>
      </c>
      <c r="E121">
        <v>1</v>
      </c>
      <c r="F121">
        <v>20</v>
      </c>
      <c r="G121">
        <v>0.1</v>
      </c>
      <c r="H121">
        <v>18</v>
      </c>
      <c r="I121">
        <v>11</v>
      </c>
      <c r="J121" t="s">
        <v>44</v>
      </c>
      <c r="K121" t="s">
        <v>29</v>
      </c>
    </row>
    <row r="122" spans="1:11" x14ac:dyDescent="0.3">
      <c r="A122" t="s">
        <v>243</v>
      </c>
      <c r="B122" t="s">
        <v>244</v>
      </c>
      <c r="C122" t="s">
        <v>23</v>
      </c>
      <c r="D122" t="s">
        <v>31</v>
      </c>
      <c r="E122">
        <v>4</v>
      </c>
      <c r="F122">
        <v>25</v>
      </c>
      <c r="G122">
        <v>0</v>
      </c>
      <c r="H122">
        <v>100</v>
      </c>
      <c r="I122">
        <v>68</v>
      </c>
      <c r="J122" t="s">
        <v>20</v>
      </c>
      <c r="K122" t="s">
        <v>16</v>
      </c>
    </row>
    <row r="123" spans="1:11" x14ac:dyDescent="0.3">
      <c r="A123" t="s">
        <v>245</v>
      </c>
      <c r="B123" t="s">
        <v>246</v>
      </c>
      <c r="C123" t="s">
        <v>13</v>
      </c>
      <c r="D123" t="s">
        <v>14</v>
      </c>
      <c r="E123">
        <v>7</v>
      </c>
      <c r="F123">
        <v>110</v>
      </c>
      <c r="G123">
        <v>0.05</v>
      </c>
      <c r="H123">
        <v>731.5</v>
      </c>
      <c r="I123">
        <v>521.5</v>
      </c>
      <c r="J123" t="s">
        <v>15</v>
      </c>
      <c r="K123" t="s">
        <v>29</v>
      </c>
    </row>
    <row r="124" spans="1:11" x14ac:dyDescent="0.3">
      <c r="A124" t="s">
        <v>247</v>
      </c>
      <c r="B124" t="s">
        <v>246</v>
      </c>
      <c r="C124" t="s">
        <v>18</v>
      </c>
      <c r="D124" t="s">
        <v>19</v>
      </c>
      <c r="E124">
        <v>9</v>
      </c>
      <c r="F124">
        <v>40</v>
      </c>
      <c r="G124">
        <v>0.1</v>
      </c>
      <c r="H124">
        <v>324</v>
      </c>
      <c r="I124">
        <v>189</v>
      </c>
      <c r="J124" t="s">
        <v>20</v>
      </c>
      <c r="K124" t="s">
        <v>29</v>
      </c>
    </row>
    <row r="125" spans="1:11" x14ac:dyDescent="0.3">
      <c r="A125" t="s">
        <v>248</v>
      </c>
      <c r="B125" t="s">
        <v>249</v>
      </c>
      <c r="C125" t="s">
        <v>13</v>
      </c>
      <c r="D125" t="s">
        <v>51</v>
      </c>
      <c r="E125">
        <v>5</v>
      </c>
      <c r="F125">
        <v>250</v>
      </c>
      <c r="G125">
        <v>0.1</v>
      </c>
      <c r="H125">
        <v>1125</v>
      </c>
      <c r="I125">
        <v>775</v>
      </c>
      <c r="J125" t="s">
        <v>28</v>
      </c>
      <c r="K125" t="s">
        <v>16</v>
      </c>
    </row>
    <row r="126" spans="1:11" x14ac:dyDescent="0.3">
      <c r="A126" t="s">
        <v>250</v>
      </c>
      <c r="B126" t="s">
        <v>251</v>
      </c>
      <c r="C126" t="s">
        <v>23</v>
      </c>
      <c r="D126" t="s">
        <v>35</v>
      </c>
      <c r="E126">
        <v>2</v>
      </c>
      <c r="F126">
        <v>15</v>
      </c>
      <c r="G126">
        <v>0</v>
      </c>
      <c r="H126">
        <v>30</v>
      </c>
      <c r="I126">
        <v>20</v>
      </c>
      <c r="J126" t="s">
        <v>15</v>
      </c>
      <c r="K126" t="s">
        <v>29</v>
      </c>
    </row>
    <row r="127" spans="1:11" x14ac:dyDescent="0.3">
      <c r="A127" t="s">
        <v>252</v>
      </c>
      <c r="B127" t="s">
        <v>253</v>
      </c>
      <c r="C127" t="s">
        <v>13</v>
      </c>
      <c r="D127" t="s">
        <v>14</v>
      </c>
      <c r="E127">
        <v>8</v>
      </c>
      <c r="F127">
        <v>110</v>
      </c>
      <c r="G127">
        <v>0.1</v>
      </c>
      <c r="H127">
        <v>792</v>
      </c>
      <c r="I127">
        <v>552</v>
      </c>
      <c r="J127" t="s">
        <v>20</v>
      </c>
      <c r="K127" t="s">
        <v>29</v>
      </c>
    </row>
    <row r="128" spans="1:11" x14ac:dyDescent="0.3">
      <c r="A128" t="s">
        <v>254</v>
      </c>
      <c r="B128" t="s">
        <v>253</v>
      </c>
      <c r="C128" t="s">
        <v>23</v>
      </c>
      <c r="D128" t="s">
        <v>31</v>
      </c>
      <c r="E128">
        <v>5</v>
      </c>
      <c r="F128">
        <v>25</v>
      </c>
      <c r="G128">
        <v>0</v>
      </c>
      <c r="H128">
        <v>125</v>
      </c>
      <c r="I128">
        <v>85</v>
      </c>
      <c r="J128" t="s">
        <v>20</v>
      </c>
      <c r="K128" t="s">
        <v>32</v>
      </c>
    </row>
    <row r="129" spans="1:11" x14ac:dyDescent="0.3">
      <c r="A129" t="s">
        <v>255</v>
      </c>
      <c r="B129" t="s">
        <v>256</v>
      </c>
      <c r="C129" t="s">
        <v>18</v>
      </c>
      <c r="D129" t="s">
        <v>61</v>
      </c>
      <c r="E129">
        <v>9</v>
      </c>
      <c r="F129">
        <v>25</v>
      </c>
      <c r="G129">
        <v>0.05</v>
      </c>
      <c r="H129">
        <v>213.75</v>
      </c>
      <c r="I129">
        <v>123.75</v>
      </c>
      <c r="J129" t="s">
        <v>44</v>
      </c>
      <c r="K129" t="s">
        <v>29</v>
      </c>
    </row>
    <row r="130" spans="1:11" x14ac:dyDescent="0.3">
      <c r="A130" t="s">
        <v>257</v>
      </c>
      <c r="B130" t="s">
        <v>258</v>
      </c>
      <c r="C130" t="s">
        <v>23</v>
      </c>
      <c r="D130" t="s">
        <v>31</v>
      </c>
      <c r="E130">
        <v>6</v>
      </c>
      <c r="F130">
        <v>25</v>
      </c>
      <c r="G130">
        <v>0.05</v>
      </c>
      <c r="H130">
        <v>142.5</v>
      </c>
      <c r="I130">
        <v>94.5</v>
      </c>
      <c r="J130" t="s">
        <v>44</v>
      </c>
      <c r="K130" t="s">
        <v>29</v>
      </c>
    </row>
    <row r="131" spans="1:11" x14ac:dyDescent="0.3">
      <c r="A131" t="s">
        <v>259</v>
      </c>
      <c r="B131" t="s">
        <v>260</v>
      </c>
      <c r="C131" t="s">
        <v>13</v>
      </c>
      <c r="D131" t="s">
        <v>41</v>
      </c>
      <c r="E131">
        <v>5</v>
      </c>
      <c r="F131">
        <v>450</v>
      </c>
      <c r="G131">
        <v>0.15</v>
      </c>
      <c r="H131">
        <v>1912.5</v>
      </c>
      <c r="I131">
        <v>1312.5</v>
      </c>
      <c r="J131" t="s">
        <v>20</v>
      </c>
      <c r="K131" t="s">
        <v>16</v>
      </c>
    </row>
    <row r="132" spans="1:11" x14ac:dyDescent="0.3">
      <c r="A132" t="s">
        <v>261</v>
      </c>
      <c r="B132" t="s">
        <v>260</v>
      </c>
      <c r="C132" t="s">
        <v>23</v>
      </c>
      <c r="D132" t="s">
        <v>58</v>
      </c>
      <c r="E132">
        <v>8</v>
      </c>
      <c r="F132">
        <v>8</v>
      </c>
      <c r="G132">
        <v>0.05</v>
      </c>
      <c r="H132">
        <v>60.8</v>
      </c>
      <c r="I132">
        <v>36.799999999999997</v>
      </c>
      <c r="J132" t="s">
        <v>15</v>
      </c>
      <c r="K132" t="s">
        <v>32</v>
      </c>
    </row>
    <row r="133" spans="1:11" x14ac:dyDescent="0.3">
      <c r="A133" t="s">
        <v>262</v>
      </c>
      <c r="B133" t="s">
        <v>263</v>
      </c>
      <c r="C133" t="s">
        <v>13</v>
      </c>
      <c r="D133" t="s">
        <v>38</v>
      </c>
      <c r="E133">
        <v>4</v>
      </c>
      <c r="F133">
        <v>150</v>
      </c>
      <c r="G133">
        <v>0.2</v>
      </c>
      <c r="H133">
        <v>480</v>
      </c>
      <c r="I133">
        <v>320</v>
      </c>
      <c r="J133" t="s">
        <v>20</v>
      </c>
      <c r="K133" t="s">
        <v>29</v>
      </c>
    </row>
    <row r="134" spans="1:11" x14ac:dyDescent="0.3">
      <c r="A134" t="s">
        <v>264</v>
      </c>
      <c r="B134" t="s">
        <v>265</v>
      </c>
      <c r="C134" t="s">
        <v>23</v>
      </c>
      <c r="D134" t="s">
        <v>35</v>
      </c>
      <c r="E134">
        <v>4</v>
      </c>
      <c r="F134">
        <v>15</v>
      </c>
      <c r="G134">
        <v>0.05</v>
      </c>
      <c r="H134">
        <v>57</v>
      </c>
      <c r="I134">
        <v>37</v>
      </c>
      <c r="J134" t="s">
        <v>20</v>
      </c>
      <c r="K134" t="s">
        <v>32</v>
      </c>
    </row>
    <row r="135" spans="1:11" x14ac:dyDescent="0.3">
      <c r="A135" t="s">
        <v>266</v>
      </c>
      <c r="B135" t="s">
        <v>267</v>
      </c>
      <c r="C135" t="s">
        <v>18</v>
      </c>
      <c r="D135" t="s">
        <v>19</v>
      </c>
      <c r="E135">
        <v>4</v>
      </c>
      <c r="F135">
        <v>40</v>
      </c>
      <c r="G135">
        <v>0</v>
      </c>
      <c r="H135">
        <v>160</v>
      </c>
      <c r="I135">
        <v>100</v>
      </c>
      <c r="J135" t="s">
        <v>20</v>
      </c>
      <c r="K135" t="s">
        <v>29</v>
      </c>
    </row>
    <row r="136" spans="1:11" x14ac:dyDescent="0.3">
      <c r="A136" t="s">
        <v>268</v>
      </c>
      <c r="B136" t="s">
        <v>267</v>
      </c>
      <c r="C136" t="s">
        <v>13</v>
      </c>
      <c r="D136" t="s">
        <v>14</v>
      </c>
      <c r="E136">
        <v>4</v>
      </c>
      <c r="F136">
        <v>110</v>
      </c>
      <c r="G136">
        <v>0.1</v>
      </c>
      <c r="H136">
        <v>396</v>
      </c>
      <c r="I136">
        <v>276</v>
      </c>
      <c r="J136" t="s">
        <v>20</v>
      </c>
      <c r="K136" t="s">
        <v>29</v>
      </c>
    </row>
    <row r="137" spans="1:11" x14ac:dyDescent="0.3">
      <c r="A137" t="s">
        <v>269</v>
      </c>
      <c r="B137" t="s">
        <v>270</v>
      </c>
      <c r="C137" t="s">
        <v>23</v>
      </c>
      <c r="D137" t="s">
        <v>43</v>
      </c>
      <c r="E137">
        <v>5</v>
      </c>
      <c r="F137">
        <v>20</v>
      </c>
      <c r="G137">
        <v>0.1</v>
      </c>
      <c r="H137">
        <v>90</v>
      </c>
      <c r="I137">
        <v>55</v>
      </c>
      <c r="J137" t="s">
        <v>28</v>
      </c>
      <c r="K137" t="s">
        <v>16</v>
      </c>
    </row>
    <row r="138" spans="1:11" x14ac:dyDescent="0.3">
      <c r="A138" t="s">
        <v>271</v>
      </c>
      <c r="B138" t="s">
        <v>272</v>
      </c>
      <c r="C138" t="s">
        <v>18</v>
      </c>
      <c r="D138" t="s">
        <v>61</v>
      </c>
      <c r="E138">
        <v>8</v>
      </c>
      <c r="F138">
        <v>25</v>
      </c>
      <c r="G138">
        <v>0.05</v>
      </c>
      <c r="H138">
        <v>190</v>
      </c>
      <c r="I138">
        <v>110</v>
      </c>
      <c r="J138" t="s">
        <v>20</v>
      </c>
      <c r="K138" t="s">
        <v>16</v>
      </c>
    </row>
    <row r="139" spans="1:11" x14ac:dyDescent="0.3">
      <c r="A139" t="s">
        <v>273</v>
      </c>
      <c r="B139" t="s">
        <v>272</v>
      </c>
      <c r="C139" t="s">
        <v>23</v>
      </c>
      <c r="D139" t="s">
        <v>43</v>
      </c>
      <c r="E139">
        <v>4</v>
      </c>
      <c r="F139">
        <v>20</v>
      </c>
      <c r="G139">
        <v>0.15</v>
      </c>
      <c r="H139">
        <v>68</v>
      </c>
      <c r="I139">
        <v>40</v>
      </c>
      <c r="J139" t="s">
        <v>20</v>
      </c>
      <c r="K139" t="s">
        <v>16</v>
      </c>
    </row>
    <row r="140" spans="1:11" x14ac:dyDescent="0.3">
      <c r="A140" t="s">
        <v>274</v>
      </c>
      <c r="B140" t="s">
        <v>275</v>
      </c>
      <c r="C140" t="s">
        <v>23</v>
      </c>
      <c r="D140" t="s">
        <v>35</v>
      </c>
      <c r="E140">
        <v>9</v>
      </c>
      <c r="F140">
        <v>15</v>
      </c>
      <c r="G140">
        <v>0</v>
      </c>
      <c r="H140">
        <v>135</v>
      </c>
      <c r="I140">
        <v>90</v>
      </c>
      <c r="J140" t="s">
        <v>20</v>
      </c>
      <c r="K140" t="s">
        <v>32</v>
      </c>
    </row>
    <row r="141" spans="1:11" x14ac:dyDescent="0.3">
      <c r="A141" t="s">
        <v>276</v>
      </c>
      <c r="B141" t="s">
        <v>277</v>
      </c>
      <c r="C141" t="s">
        <v>23</v>
      </c>
      <c r="D141" t="s">
        <v>35</v>
      </c>
      <c r="E141">
        <v>5</v>
      </c>
      <c r="F141">
        <v>15</v>
      </c>
      <c r="G141">
        <v>0.2</v>
      </c>
      <c r="H141">
        <v>60</v>
      </c>
      <c r="I141">
        <v>35</v>
      </c>
      <c r="J141" t="s">
        <v>28</v>
      </c>
      <c r="K141" t="s">
        <v>16</v>
      </c>
    </row>
    <row r="142" spans="1:11" x14ac:dyDescent="0.3">
      <c r="A142" t="s">
        <v>278</v>
      </c>
      <c r="B142" t="s">
        <v>279</v>
      </c>
      <c r="C142" t="s">
        <v>23</v>
      </c>
      <c r="D142" t="s">
        <v>58</v>
      </c>
      <c r="E142">
        <v>8</v>
      </c>
      <c r="F142">
        <v>8</v>
      </c>
      <c r="G142">
        <v>0.05</v>
      </c>
      <c r="H142">
        <v>60.8</v>
      </c>
      <c r="I142">
        <v>36.799999999999997</v>
      </c>
      <c r="J142" t="s">
        <v>44</v>
      </c>
      <c r="K142" t="s">
        <v>29</v>
      </c>
    </row>
    <row r="143" spans="1:11" x14ac:dyDescent="0.3">
      <c r="A143" t="s">
        <v>280</v>
      </c>
      <c r="B143" t="s">
        <v>279</v>
      </c>
      <c r="C143" t="s">
        <v>18</v>
      </c>
      <c r="D143" t="s">
        <v>77</v>
      </c>
      <c r="E143">
        <v>5</v>
      </c>
      <c r="F143">
        <v>1200</v>
      </c>
      <c r="G143">
        <v>0.05</v>
      </c>
      <c r="H143">
        <v>5700</v>
      </c>
      <c r="I143">
        <v>4200</v>
      </c>
      <c r="J143" t="s">
        <v>15</v>
      </c>
      <c r="K143" t="s">
        <v>29</v>
      </c>
    </row>
    <row r="144" spans="1:11" x14ac:dyDescent="0.3">
      <c r="A144" t="s">
        <v>281</v>
      </c>
      <c r="B144" t="s">
        <v>282</v>
      </c>
      <c r="C144" t="s">
        <v>23</v>
      </c>
      <c r="D144" t="s">
        <v>24</v>
      </c>
      <c r="E144">
        <v>7</v>
      </c>
      <c r="F144">
        <v>10</v>
      </c>
      <c r="G144">
        <v>0</v>
      </c>
      <c r="H144">
        <v>70</v>
      </c>
      <c r="I144">
        <v>42</v>
      </c>
      <c r="J144" t="s">
        <v>20</v>
      </c>
      <c r="K144" t="s">
        <v>29</v>
      </c>
    </row>
    <row r="145" spans="1:11" x14ac:dyDescent="0.3">
      <c r="A145" t="s">
        <v>283</v>
      </c>
      <c r="B145" t="s">
        <v>284</v>
      </c>
      <c r="C145" t="s">
        <v>18</v>
      </c>
      <c r="D145" t="s">
        <v>128</v>
      </c>
      <c r="E145">
        <v>3</v>
      </c>
      <c r="F145">
        <v>350</v>
      </c>
      <c r="G145">
        <v>0</v>
      </c>
      <c r="H145">
        <v>1050</v>
      </c>
      <c r="I145">
        <v>780</v>
      </c>
      <c r="J145" t="s">
        <v>20</v>
      </c>
      <c r="K145" t="s">
        <v>16</v>
      </c>
    </row>
    <row r="146" spans="1:11" x14ac:dyDescent="0.3">
      <c r="A146" t="s">
        <v>285</v>
      </c>
      <c r="B146" t="s">
        <v>286</v>
      </c>
      <c r="C146" t="s">
        <v>18</v>
      </c>
      <c r="D146" t="s">
        <v>77</v>
      </c>
      <c r="E146">
        <v>1</v>
      </c>
      <c r="F146">
        <v>1200</v>
      </c>
      <c r="G146">
        <v>0.1</v>
      </c>
      <c r="H146">
        <v>1080</v>
      </c>
      <c r="I146">
        <v>780</v>
      </c>
      <c r="J146" t="s">
        <v>15</v>
      </c>
      <c r="K146" t="s">
        <v>16</v>
      </c>
    </row>
    <row r="147" spans="1:11" x14ac:dyDescent="0.3">
      <c r="A147" t="s">
        <v>287</v>
      </c>
      <c r="B147" t="s">
        <v>286</v>
      </c>
      <c r="C147" t="s">
        <v>18</v>
      </c>
      <c r="D147" t="s">
        <v>77</v>
      </c>
      <c r="E147">
        <v>7</v>
      </c>
      <c r="F147">
        <v>1200</v>
      </c>
      <c r="G147">
        <v>0.2</v>
      </c>
      <c r="H147">
        <v>6720</v>
      </c>
      <c r="I147">
        <v>4620</v>
      </c>
      <c r="J147" t="s">
        <v>44</v>
      </c>
      <c r="K147" t="s">
        <v>29</v>
      </c>
    </row>
    <row r="148" spans="1:11" x14ac:dyDescent="0.3">
      <c r="A148" t="s">
        <v>288</v>
      </c>
      <c r="B148" t="s">
        <v>289</v>
      </c>
      <c r="C148" t="s">
        <v>23</v>
      </c>
      <c r="D148" t="s">
        <v>31</v>
      </c>
      <c r="E148">
        <v>8</v>
      </c>
      <c r="F148">
        <v>25</v>
      </c>
      <c r="G148">
        <v>0.05</v>
      </c>
      <c r="H148">
        <v>190</v>
      </c>
      <c r="I148">
        <v>126</v>
      </c>
      <c r="J148" t="s">
        <v>20</v>
      </c>
      <c r="K148" t="s">
        <v>16</v>
      </c>
    </row>
    <row r="149" spans="1:11" x14ac:dyDescent="0.3">
      <c r="A149" t="s">
        <v>290</v>
      </c>
      <c r="B149" t="s">
        <v>291</v>
      </c>
      <c r="C149" t="s">
        <v>23</v>
      </c>
      <c r="D149" t="s">
        <v>58</v>
      </c>
      <c r="E149">
        <v>8</v>
      </c>
      <c r="F149">
        <v>8</v>
      </c>
      <c r="G149">
        <v>0.15</v>
      </c>
      <c r="H149">
        <v>54.4</v>
      </c>
      <c r="I149">
        <v>30.4</v>
      </c>
      <c r="J149" t="s">
        <v>15</v>
      </c>
      <c r="K149" t="s">
        <v>16</v>
      </c>
    </row>
    <row r="150" spans="1:11" x14ac:dyDescent="0.3">
      <c r="A150" t="s">
        <v>292</v>
      </c>
      <c r="B150" t="s">
        <v>291</v>
      </c>
      <c r="C150" t="s">
        <v>18</v>
      </c>
      <c r="D150" t="s">
        <v>27</v>
      </c>
      <c r="E150">
        <v>2</v>
      </c>
      <c r="F150">
        <v>80</v>
      </c>
      <c r="G150">
        <v>0</v>
      </c>
      <c r="H150">
        <v>160</v>
      </c>
      <c r="I150">
        <v>100</v>
      </c>
      <c r="J150" t="s">
        <v>20</v>
      </c>
      <c r="K150" t="s">
        <v>29</v>
      </c>
    </row>
    <row r="151" spans="1:11" x14ac:dyDescent="0.3">
      <c r="A151" t="s">
        <v>293</v>
      </c>
      <c r="B151" t="s">
        <v>294</v>
      </c>
      <c r="C151" t="s">
        <v>13</v>
      </c>
      <c r="D151" t="s">
        <v>51</v>
      </c>
      <c r="E151">
        <v>2</v>
      </c>
      <c r="F151">
        <v>250</v>
      </c>
      <c r="G151">
        <v>0</v>
      </c>
      <c r="H151">
        <v>500</v>
      </c>
      <c r="I151">
        <v>360</v>
      </c>
      <c r="J151" t="s">
        <v>20</v>
      </c>
      <c r="K151" t="s">
        <v>16</v>
      </c>
    </row>
    <row r="152" spans="1:11" x14ac:dyDescent="0.3">
      <c r="A152" t="s">
        <v>295</v>
      </c>
      <c r="B152" t="s">
        <v>296</v>
      </c>
      <c r="C152" t="s">
        <v>18</v>
      </c>
      <c r="D152" t="s">
        <v>27</v>
      </c>
      <c r="E152">
        <v>3</v>
      </c>
      <c r="F152">
        <v>80</v>
      </c>
      <c r="G152">
        <v>0.05</v>
      </c>
      <c r="H152">
        <v>228</v>
      </c>
      <c r="I152">
        <v>138</v>
      </c>
      <c r="J152" t="s">
        <v>44</v>
      </c>
      <c r="K152" t="s">
        <v>16</v>
      </c>
    </row>
    <row r="153" spans="1:11" x14ac:dyDescent="0.3">
      <c r="A153" t="s">
        <v>297</v>
      </c>
      <c r="B153" t="s">
        <v>298</v>
      </c>
      <c r="C153" t="s">
        <v>18</v>
      </c>
      <c r="D153" t="s">
        <v>61</v>
      </c>
      <c r="E153">
        <v>7</v>
      </c>
      <c r="F153">
        <v>25</v>
      </c>
      <c r="G153">
        <v>0.05</v>
      </c>
      <c r="H153">
        <v>166.25</v>
      </c>
      <c r="I153">
        <v>96.25</v>
      </c>
      <c r="J153" t="s">
        <v>15</v>
      </c>
      <c r="K153" t="s">
        <v>16</v>
      </c>
    </row>
    <row r="154" spans="1:11" x14ac:dyDescent="0.3">
      <c r="A154" t="s">
        <v>299</v>
      </c>
      <c r="B154" t="s">
        <v>298</v>
      </c>
      <c r="C154" t="s">
        <v>18</v>
      </c>
      <c r="D154" t="s">
        <v>27</v>
      </c>
      <c r="E154">
        <v>8</v>
      </c>
      <c r="F154">
        <v>80</v>
      </c>
      <c r="G154">
        <v>0</v>
      </c>
      <c r="H154">
        <v>640</v>
      </c>
      <c r="I154">
        <v>400</v>
      </c>
      <c r="J154" t="s">
        <v>20</v>
      </c>
      <c r="K154" t="s">
        <v>16</v>
      </c>
    </row>
    <row r="155" spans="1:11" x14ac:dyDescent="0.3">
      <c r="A155" t="s">
        <v>300</v>
      </c>
      <c r="B155" t="s">
        <v>301</v>
      </c>
      <c r="C155" t="s">
        <v>23</v>
      </c>
      <c r="D155" t="s">
        <v>24</v>
      </c>
      <c r="E155">
        <v>3</v>
      </c>
      <c r="F155">
        <v>10</v>
      </c>
      <c r="G155">
        <v>0</v>
      </c>
      <c r="H155">
        <v>30</v>
      </c>
      <c r="I155">
        <v>18</v>
      </c>
      <c r="J155" t="s">
        <v>20</v>
      </c>
      <c r="K155" t="s">
        <v>32</v>
      </c>
    </row>
    <row r="156" spans="1:11" x14ac:dyDescent="0.3">
      <c r="A156" t="s">
        <v>302</v>
      </c>
      <c r="B156" t="s">
        <v>303</v>
      </c>
      <c r="C156" t="s">
        <v>23</v>
      </c>
      <c r="D156" t="s">
        <v>43</v>
      </c>
      <c r="E156">
        <v>4</v>
      </c>
      <c r="F156">
        <v>20</v>
      </c>
      <c r="G156">
        <v>0.05</v>
      </c>
      <c r="H156">
        <v>76</v>
      </c>
      <c r="I156">
        <v>48</v>
      </c>
      <c r="J156" t="s">
        <v>15</v>
      </c>
      <c r="K156" t="s">
        <v>16</v>
      </c>
    </row>
    <row r="157" spans="1:11" x14ac:dyDescent="0.3">
      <c r="A157" t="s">
        <v>304</v>
      </c>
      <c r="B157" t="s">
        <v>305</v>
      </c>
      <c r="C157" t="s">
        <v>23</v>
      </c>
      <c r="D157" t="s">
        <v>24</v>
      </c>
      <c r="E157">
        <v>7</v>
      </c>
      <c r="F157">
        <v>10</v>
      </c>
      <c r="G157">
        <v>0.1</v>
      </c>
      <c r="H157">
        <v>63</v>
      </c>
      <c r="I157">
        <v>35</v>
      </c>
      <c r="J157" t="s">
        <v>28</v>
      </c>
      <c r="K157" t="s">
        <v>16</v>
      </c>
    </row>
    <row r="158" spans="1:11" x14ac:dyDescent="0.3">
      <c r="A158" t="s">
        <v>306</v>
      </c>
      <c r="B158" t="s">
        <v>305</v>
      </c>
      <c r="C158" t="s">
        <v>23</v>
      </c>
      <c r="D158" t="s">
        <v>31</v>
      </c>
      <c r="E158">
        <v>2</v>
      </c>
      <c r="F158">
        <v>25</v>
      </c>
      <c r="G158">
        <v>0.15</v>
      </c>
      <c r="H158">
        <v>42.5</v>
      </c>
      <c r="I158">
        <v>26.5</v>
      </c>
      <c r="J158" t="s">
        <v>28</v>
      </c>
      <c r="K158" t="s">
        <v>16</v>
      </c>
    </row>
    <row r="159" spans="1:11" x14ac:dyDescent="0.3">
      <c r="A159" t="s">
        <v>307</v>
      </c>
      <c r="B159" t="s">
        <v>308</v>
      </c>
      <c r="C159" t="s">
        <v>18</v>
      </c>
      <c r="D159" t="s">
        <v>61</v>
      </c>
      <c r="E159">
        <v>3</v>
      </c>
      <c r="F159">
        <v>25</v>
      </c>
      <c r="G159">
        <v>0.05</v>
      </c>
      <c r="H159">
        <v>71.25</v>
      </c>
      <c r="I159">
        <v>41.25</v>
      </c>
      <c r="J159" t="s">
        <v>15</v>
      </c>
      <c r="K159" t="s">
        <v>29</v>
      </c>
    </row>
    <row r="160" spans="1:11" x14ac:dyDescent="0.3">
      <c r="A160" t="s">
        <v>309</v>
      </c>
      <c r="B160" t="s">
        <v>310</v>
      </c>
      <c r="C160" t="s">
        <v>13</v>
      </c>
      <c r="D160" t="s">
        <v>51</v>
      </c>
      <c r="E160">
        <v>2</v>
      </c>
      <c r="F160">
        <v>250</v>
      </c>
      <c r="G160">
        <v>0.15</v>
      </c>
      <c r="H160">
        <v>425</v>
      </c>
      <c r="I160">
        <v>285</v>
      </c>
      <c r="J160" t="s">
        <v>15</v>
      </c>
      <c r="K160" t="s">
        <v>32</v>
      </c>
    </row>
    <row r="161" spans="1:11" x14ac:dyDescent="0.3">
      <c r="A161" t="s">
        <v>311</v>
      </c>
      <c r="B161" t="s">
        <v>310</v>
      </c>
      <c r="C161" t="s">
        <v>23</v>
      </c>
      <c r="D161" t="s">
        <v>35</v>
      </c>
      <c r="E161">
        <v>8</v>
      </c>
      <c r="F161">
        <v>15</v>
      </c>
      <c r="G161">
        <v>0.2</v>
      </c>
      <c r="H161">
        <v>96</v>
      </c>
      <c r="I161">
        <v>56</v>
      </c>
      <c r="J161" t="s">
        <v>44</v>
      </c>
      <c r="K161" t="s">
        <v>16</v>
      </c>
    </row>
    <row r="162" spans="1:11" x14ac:dyDescent="0.3">
      <c r="A162" t="s">
        <v>312</v>
      </c>
      <c r="B162" t="s">
        <v>313</v>
      </c>
      <c r="C162" t="s">
        <v>13</v>
      </c>
      <c r="D162" t="s">
        <v>51</v>
      </c>
      <c r="E162">
        <v>9</v>
      </c>
      <c r="F162">
        <v>250</v>
      </c>
      <c r="G162">
        <v>0.05</v>
      </c>
      <c r="H162">
        <v>2137.5</v>
      </c>
      <c r="I162">
        <v>1507.5</v>
      </c>
      <c r="J162" t="s">
        <v>20</v>
      </c>
      <c r="K162" t="s">
        <v>16</v>
      </c>
    </row>
    <row r="163" spans="1:11" x14ac:dyDescent="0.3">
      <c r="A163" t="s">
        <v>314</v>
      </c>
      <c r="B163" t="s">
        <v>315</v>
      </c>
      <c r="C163" t="s">
        <v>18</v>
      </c>
      <c r="D163" t="s">
        <v>27</v>
      </c>
      <c r="E163">
        <v>4</v>
      </c>
      <c r="F163">
        <v>80</v>
      </c>
      <c r="G163">
        <v>0</v>
      </c>
      <c r="H163">
        <v>320</v>
      </c>
      <c r="I163">
        <v>200</v>
      </c>
      <c r="J163" t="s">
        <v>28</v>
      </c>
      <c r="K163" t="s">
        <v>29</v>
      </c>
    </row>
    <row r="164" spans="1:11" x14ac:dyDescent="0.3">
      <c r="A164" t="s">
        <v>316</v>
      </c>
      <c r="B164" t="s">
        <v>317</v>
      </c>
      <c r="C164" t="s">
        <v>23</v>
      </c>
      <c r="D164" t="s">
        <v>24</v>
      </c>
      <c r="E164">
        <v>5</v>
      </c>
      <c r="F164">
        <v>10</v>
      </c>
      <c r="G164">
        <v>0.1</v>
      </c>
      <c r="H164">
        <v>45</v>
      </c>
      <c r="I164">
        <v>25</v>
      </c>
      <c r="J164" t="s">
        <v>44</v>
      </c>
      <c r="K164" t="s">
        <v>16</v>
      </c>
    </row>
    <row r="165" spans="1:11" x14ac:dyDescent="0.3">
      <c r="A165" t="s">
        <v>318</v>
      </c>
      <c r="B165" t="s">
        <v>317</v>
      </c>
      <c r="C165" t="s">
        <v>13</v>
      </c>
      <c r="D165" t="s">
        <v>41</v>
      </c>
      <c r="E165">
        <v>7</v>
      </c>
      <c r="F165">
        <v>450</v>
      </c>
      <c r="G165">
        <v>0</v>
      </c>
      <c r="H165">
        <v>3150</v>
      </c>
      <c r="I165">
        <v>2310</v>
      </c>
      <c r="J165" t="s">
        <v>15</v>
      </c>
      <c r="K165" t="s">
        <v>16</v>
      </c>
    </row>
    <row r="166" spans="1:11" x14ac:dyDescent="0.3">
      <c r="A166" t="s">
        <v>319</v>
      </c>
      <c r="B166" t="s">
        <v>320</v>
      </c>
      <c r="C166" t="s">
        <v>18</v>
      </c>
      <c r="D166" t="s">
        <v>27</v>
      </c>
      <c r="E166">
        <v>8</v>
      </c>
      <c r="F166">
        <v>80</v>
      </c>
      <c r="G166">
        <v>0</v>
      </c>
      <c r="H166">
        <v>640</v>
      </c>
      <c r="I166">
        <v>400</v>
      </c>
      <c r="J166" t="s">
        <v>20</v>
      </c>
      <c r="K166" t="s">
        <v>29</v>
      </c>
    </row>
    <row r="167" spans="1:11" x14ac:dyDescent="0.3">
      <c r="A167" t="s">
        <v>321</v>
      </c>
      <c r="B167" t="s">
        <v>322</v>
      </c>
      <c r="C167" t="s">
        <v>13</v>
      </c>
      <c r="D167" t="s">
        <v>51</v>
      </c>
      <c r="E167">
        <v>5</v>
      </c>
      <c r="F167">
        <v>250</v>
      </c>
      <c r="G167">
        <v>0</v>
      </c>
      <c r="H167">
        <v>1250</v>
      </c>
      <c r="I167">
        <v>900</v>
      </c>
      <c r="J167" t="s">
        <v>44</v>
      </c>
      <c r="K167" t="s">
        <v>16</v>
      </c>
    </row>
    <row r="168" spans="1:11" x14ac:dyDescent="0.3">
      <c r="A168" t="s">
        <v>323</v>
      </c>
      <c r="B168" t="s">
        <v>324</v>
      </c>
      <c r="C168" t="s">
        <v>18</v>
      </c>
      <c r="D168" t="s">
        <v>27</v>
      </c>
      <c r="E168">
        <v>1</v>
      </c>
      <c r="F168">
        <v>80</v>
      </c>
      <c r="G168">
        <v>0</v>
      </c>
      <c r="H168">
        <v>80</v>
      </c>
      <c r="I168">
        <v>50</v>
      </c>
      <c r="J168" t="s">
        <v>20</v>
      </c>
      <c r="K168" t="s">
        <v>16</v>
      </c>
    </row>
    <row r="169" spans="1:11" x14ac:dyDescent="0.3">
      <c r="A169" t="s">
        <v>325</v>
      </c>
      <c r="B169" t="s">
        <v>324</v>
      </c>
      <c r="C169" t="s">
        <v>13</v>
      </c>
      <c r="D169" t="s">
        <v>38</v>
      </c>
      <c r="E169">
        <v>4</v>
      </c>
      <c r="F169">
        <v>150</v>
      </c>
      <c r="G169">
        <v>0.1</v>
      </c>
      <c r="H169">
        <v>540</v>
      </c>
      <c r="I169">
        <v>380</v>
      </c>
      <c r="J169" t="s">
        <v>15</v>
      </c>
      <c r="K169" t="s">
        <v>29</v>
      </c>
    </row>
    <row r="170" spans="1:11" x14ac:dyDescent="0.3">
      <c r="A170" t="s">
        <v>326</v>
      </c>
      <c r="B170" t="s">
        <v>327</v>
      </c>
      <c r="C170" t="s">
        <v>13</v>
      </c>
      <c r="D170" t="s">
        <v>14</v>
      </c>
      <c r="E170">
        <v>8</v>
      </c>
      <c r="F170">
        <v>110</v>
      </c>
      <c r="G170">
        <v>0</v>
      </c>
      <c r="H170">
        <v>880</v>
      </c>
      <c r="I170">
        <v>640</v>
      </c>
      <c r="J170" t="s">
        <v>15</v>
      </c>
      <c r="K170" t="s">
        <v>16</v>
      </c>
    </row>
    <row r="171" spans="1:11" x14ac:dyDescent="0.3">
      <c r="A171" t="s">
        <v>328</v>
      </c>
      <c r="B171" t="s">
        <v>329</v>
      </c>
      <c r="C171" t="s">
        <v>13</v>
      </c>
      <c r="D171" t="s">
        <v>38</v>
      </c>
      <c r="E171">
        <v>1</v>
      </c>
      <c r="F171">
        <v>150</v>
      </c>
      <c r="G171">
        <v>0</v>
      </c>
      <c r="H171">
        <v>150</v>
      </c>
      <c r="I171">
        <v>110</v>
      </c>
      <c r="J171" t="s">
        <v>20</v>
      </c>
      <c r="K171" t="s">
        <v>16</v>
      </c>
    </row>
    <row r="172" spans="1:11" x14ac:dyDescent="0.3">
      <c r="A172" t="s">
        <v>330</v>
      </c>
      <c r="B172" t="s">
        <v>331</v>
      </c>
      <c r="C172" t="s">
        <v>23</v>
      </c>
      <c r="D172" t="s">
        <v>31</v>
      </c>
      <c r="E172">
        <v>9</v>
      </c>
      <c r="F172">
        <v>25</v>
      </c>
      <c r="G172">
        <v>0</v>
      </c>
      <c r="H172">
        <v>225</v>
      </c>
      <c r="I172">
        <v>153</v>
      </c>
      <c r="J172" t="s">
        <v>20</v>
      </c>
      <c r="K172" t="s">
        <v>29</v>
      </c>
    </row>
    <row r="173" spans="1:11" x14ac:dyDescent="0.3">
      <c r="A173" t="s">
        <v>332</v>
      </c>
      <c r="B173" t="s">
        <v>331</v>
      </c>
      <c r="C173" t="s">
        <v>23</v>
      </c>
      <c r="D173" t="s">
        <v>24</v>
      </c>
      <c r="E173">
        <v>9</v>
      </c>
      <c r="F173">
        <v>10</v>
      </c>
      <c r="G173">
        <v>0</v>
      </c>
      <c r="H173">
        <v>90</v>
      </c>
      <c r="I173">
        <v>54</v>
      </c>
      <c r="J173" t="s">
        <v>28</v>
      </c>
      <c r="K173" t="s">
        <v>29</v>
      </c>
    </row>
    <row r="174" spans="1:11" x14ac:dyDescent="0.3">
      <c r="A174" t="s">
        <v>333</v>
      </c>
      <c r="B174" t="s">
        <v>334</v>
      </c>
      <c r="C174" t="s">
        <v>23</v>
      </c>
      <c r="D174" t="s">
        <v>24</v>
      </c>
      <c r="E174">
        <v>3</v>
      </c>
      <c r="F174">
        <v>10</v>
      </c>
      <c r="G174">
        <v>0</v>
      </c>
      <c r="H174">
        <v>30</v>
      </c>
      <c r="I174">
        <v>18</v>
      </c>
      <c r="J174" t="s">
        <v>28</v>
      </c>
      <c r="K174" t="s">
        <v>32</v>
      </c>
    </row>
    <row r="175" spans="1:11" x14ac:dyDescent="0.3">
      <c r="A175" t="s">
        <v>335</v>
      </c>
      <c r="B175" t="s">
        <v>336</v>
      </c>
      <c r="C175" t="s">
        <v>23</v>
      </c>
      <c r="D175" t="s">
        <v>35</v>
      </c>
      <c r="E175">
        <v>7</v>
      </c>
      <c r="F175">
        <v>15</v>
      </c>
      <c r="G175">
        <v>0.05</v>
      </c>
      <c r="H175">
        <v>99.75</v>
      </c>
      <c r="I175">
        <v>64.75</v>
      </c>
      <c r="J175" t="s">
        <v>15</v>
      </c>
      <c r="K175" t="s">
        <v>32</v>
      </c>
    </row>
    <row r="176" spans="1:11" x14ac:dyDescent="0.3">
      <c r="A176" t="s">
        <v>337</v>
      </c>
      <c r="B176" t="s">
        <v>336</v>
      </c>
      <c r="C176" t="s">
        <v>23</v>
      </c>
      <c r="D176" t="s">
        <v>31</v>
      </c>
      <c r="E176">
        <v>1</v>
      </c>
      <c r="F176">
        <v>25</v>
      </c>
      <c r="G176">
        <v>0.05</v>
      </c>
      <c r="H176">
        <v>23.75</v>
      </c>
      <c r="I176">
        <v>15.75</v>
      </c>
      <c r="J176" t="s">
        <v>20</v>
      </c>
      <c r="K176" t="s">
        <v>32</v>
      </c>
    </row>
    <row r="177" spans="1:11" x14ac:dyDescent="0.3">
      <c r="A177" t="s">
        <v>338</v>
      </c>
      <c r="B177" t="s">
        <v>339</v>
      </c>
      <c r="C177" t="s">
        <v>18</v>
      </c>
      <c r="D177" t="s">
        <v>77</v>
      </c>
      <c r="E177">
        <v>9</v>
      </c>
      <c r="F177">
        <v>1200</v>
      </c>
      <c r="G177">
        <v>0.15</v>
      </c>
      <c r="H177">
        <v>9180</v>
      </c>
      <c r="I177">
        <v>6480</v>
      </c>
      <c r="J177" t="s">
        <v>15</v>
      </c>
      <c r="K177" t="s">
        <v>29</v>
      </c>
    </row>
    <row r="178" spans="1:11" x14ac:dyDescent="0.3">
      <c r="A178" t="s">
        <v>340</v>
      </c>
      <c r="B178" t="s">
        <v>341</v>
      </c>
      <c r="C178" t="s">
        <v>23</v>
      </c>
      <c r="D178" t="s">
        <v>24</v>
      </c>
      <c r="E178">
        <v>5</v>
      </c>
      <c r="F178">
        <v>10</v>
      </c>
      <c r="G178">
        <v>0</v>
      </c>
      <c r="H178">
        <v>50</v>
      </c>
      <c r="I178">
        <v>30</v>
      </c>
      <c r="J178" t="s">
        <v>44</v>
      </c>
      <c r="K178" t="s">
        <v>16</v>
      </c>
    </row>
    <row r="179" spans="1:11" x14ac:dyDescent="0.3">
      <c r="A179" t="s">
        <v>342</v>
      </c>
      <c r="B179" t="s">
        <v>343</v>
      </c>
      <c r="C179" t="s">
        <v>23</v>
      </c>
      <c r="D179" t="s">
        <v>58</v>
      </c>
      <c r="E179">
        <v>8</v>
      </c>
      <c r="F179">
        <v>8</v>
      </c>
      <c r="G179">
        <v>0.2</v>
      </c>
      <c r="H179">
        <v>51.2</v>
      </c>
      <c r="I179">
        <v>27.2</v>
      </c>
      <c r="J179" t="s">
        <v>28</v>
      </c>
      <c r="K179" t="s">
        <v>29</v>
      </c>
    </row>
    <row r="180" spans="1:11" x14ac:dyDescent="0.3">
      <c r="A180" t="s">
        <v>344</v>
      </c>
      <c r="B180" t="s">
        <v>343</v>
      </c>
      <c r="C180" t="s">
        <v>23</v>
      </c>
      <c r="D180" t="s">
        <v>58</v>
      </c>
      <c r="E180">
        <v>2</v>
      </c>
      <c r="F180">
        <v>8</v>
      </c>
      <c r="G180">
        <v>0.05</v>
      </c>
      <c r="H180">
        <v>15.2</v>
      </c>
      <c r="I180">
        <v>9.1999999999999993</v>
      </c>
      <c r="J180" t="s">
        <v>20</v>
      </c>
      <c r="K180" t="s">
        <v>29</v>
      </c>
    </row>
    <row r="181" spans="1:11" x14ac:dyDescent="0.3">
      <c r="A181" t="s">
        <v>345</v>
      </c>
      <c r="B181" t="s">
        <v>346</v>
      </c>
      <c r="C181" t="s">
        <v>13</v>
      </c>
      <c r="D181" t="s">
        <v>67</v>
      </c>
      <c r="E181">
        <v>2</v>
      </c>
      <c r="F181">
        <v>35</v>
      </c>
      <c r="G181">
        <v>0.15</v>
      </c>
      <c r="H181">
        <v>59.5</v>
      </c>
      <c r="I181">
        <v>35.5</v>
      </c>
      <c r="J181" t="s">
        <v>44</v>
      </c>
      <c r="K181" t="s">
        <v>29</v>
      </c>
    </row>
    <row r="182" spans="1:11" x14ac:dyDescent="0.3">
      <c r="A182" t="s">
        <v>347</v>
      </c>
      <c r="B182" t="s">
        <v>348</v>
      </c>
      <c r="C182" t="s">
        <v>13</v>
      </c>
      <c r="D182" t="s">
        <v>51</v>
      </c>
      <c r="E182">
        <v>4</v>
      </c>
      <c r="F182">
        <v>250</v>
      </c>
      <c r="G182">
        <v>0.1</v>
      </c>
      <c r="H182">
        <v>900</v>
      </c>
      <c r="I182">
        <v>620</v>
      </c>
      <c r="J182" t="s">
        <v>44</v>
      </c>
      <c r="K182" t="s">
        <v>29</v>
      </c>
    </row>
    <row r="183" spans="1:11" x14ac:dyDescent="0.3">
      <c r="A183" t="s">
        <v>349</v>
      </c>
      <c r="B183" t="s">
        <v>350</v>
      </c>
      <c r="C183" t="s">
        <v>23</v>
      </c>
      <c r="D183" t="s">
        <v>24</v>
      </c>
      <c r="E183">
        <v>2</v>
      </c>
      <c r="F183">
        <v>10</v>
      </c>
      <c r="G183">
        <v>0</v>
      </c>
      <c r="H183">
        <v>20</v>
      </c>
      <c r="I183">
        <v>12</v>
      </c>
      <c r="J183" t="s">
        <v>28</v>
      </c>
      <c r="K183" t="s">
        <v>16</v>
      </c>
    </row>
    <row r="184" spans="1:11" x14ac:dyDescent="0.3">
      <c r="A184" t="s">
        <v>351</v>
      </c>
      <c r="B184" t="s">
        <v>350</v>
      </c>
      <c r="C184" t="s">
        <v>23</v>
      </c>
      <c r="D184" t="s">
        <v>31</v>
      </c>
      <c r="E184">
        <v>2</v>
      </c>
      <c r="F184">
        <v>25</v>
      </c>
      <c r="G184">
        <v>0.15</v>
      </c>
      <c r="H184">
        <v>42.5</v>
      </c>
      <c r="I184">
        <v>26.5</v>
      </c>
      <c r="J184" t="s">
        <v>20</v>
      </c>
      <c r="K184" t="s">
        <v>32</v>
      </c>
    </row>
    <row r="185" spans="1:11" x14ac:dyDescent="0.3">
      <c r="A185" t="s">
        <v>352</v>
      </c>
      <c r="B185" t="s">
        <v>353</v>
      </c>
      <c r="C185" t="s">
        <v>13</v>
      </c>
      <c r="D185" t="s">
        <v>51</v>
      </c>
      <c r="E185">
        <v>5</v>
      </c>
      <c r="F185">
        <v>250</v>
      </c>
      <c r="G185">
        <v>0</v>
      </c>
      <c r="H185">
        <v>1250</v>
      </c>
      <c r="I185">
        <v>900</v>
      </c>
      <c r="J185" t="s">
        <v>20</v>
      </c>
      <c r="K185" t="s">
        <v>16</v>
      </c>
    </row>
    <row r="186" spans="1:11" x14ac:dyDescent="0.3">
      <c r="A186" t="s">
        <v>354</v>
      </c>
      <c r="B186" t="s">
        <v>355</v>
      </c>
      <c r="C186" t="s">
        <v>13</v>
      </c>
      <c r="D186" t="s">
        <v>51</v>
      </c>
      <c r="E186">
        <v>7</v>
      </c>
      <c r="F186">
        <v>250</v>
      </c>
      <c r="G186">
        <v>0.05</v>
      </c>
      <c r="H186">
        <v>1662.5</v>
      </c>
      <c r="I186">
        <v>1172.5</v>
      </c>
      <c r="J186" t="s">
        <v>20</v>
      </c>
      <c r="K186" t="s">
        <v>16</v>
      </c>
    </row>
    <row r="187" spans="1:11" x14ac:dyDescent="0.3">
      <c r="A187" t="s">
        <v>356</v>
      </c>
      <c r="B187" t="s">
        <v>355</v>
      </c>
      <c r="C187" t="s">
        <v>13</v>
      </c>
      <c r="D187" t="s">
        <v>41</v>
      </c>
      <c r="E187">
        <v>4</v>
      </c>
      <c r="F187">
        <v>450</v>
      </c>
      <c r="G187">
        <v>0.1</v>
      </c>
      <c r="H187">
        <v>1620</v>
      </c>
      <c r="I187">
        <v>1140</v>
      </c>
      <c r="J187" t="s">
        <v>20</v>
      </c>
      <c r="K187" t="s">
        <v>16</v>
      </c>
    </row>
    <row r="188" spans="1:11" x14ac:dyDescent="0.3">
      <c r="A188" t="s">
        <v>357</v>
      </c>
      <c r="B188" t="s">
        <v>358</v>
      </c>
      <c r="C188" t="s">
        <v>23</v>
      </c>
      <c r="D188" t="s">
        <v>35</v>
      </c>
      <c r="E188">
        <v>1</v>
      </c>
      <c r="F188">
        <v>15</v>
      </c>
      <c r="G188">
        <v>0</v>
      </c>
      <c r="H188">
        <v>15</v>
      </c>
      <c r="I188">
        <v>10</v>
      </c>
      <c r="J188" t="s">
        <v>15</v>
      </c>
      <c r="K188" t="s">
        <v>32</v>
      </c>
    </row>
    <row r="189" spans="1:11" x14ac:dyDescent="0.3">
      <c r="A189" t="s">
        <v>359</v>
      </c>
      <c r="B189" t="s">
        <v>360</v>
      </c>
      <c r="C189" t="s">
        <v>23</v>
      </c>
      <c r="D189" t="s">
        <v>31</v>
      </c>
      <c r="E189">
        <v>6</v>
      </c>
      <c r="F189">
        <v>25</v>
      </c>
      <c r="G189">
        <v>0.2</v>
      </c>
      <c r="H189">
        <v>120</v>
      </c>
      <c r="I189">
        <v>72</v>
      </c>
      <c r="J189" t="s">
        <v>28</v>
      </c>
      <c r="K189" t="s">
        <v>29</v>
      </c>
    </row>
    <row r="190" spans="1:11" x14ac:dyDescent="0.3">
      <c r="A190" t="s">
        <v>361</v>
      </c>
      <c r="B190" t="s">
        <v>362</v>
      </c>
      <c r="C190" t="s">
        <v>23</v>
      </c>
      <c r="D190" t="s">
        <v>24</v>
      </c>
      <c r="E190">
        <v>9</v>
      </c>
      <c r="F190">
        <v>10</v>
      </c>
      <c r="G190">
        <v>0.1</v>
      </c>
      <c r="H190">
        <v>81</v>
      </c>
      <c r="I190">
        <v>45</v>
      </c>
      <c r="J190" t="s">
        <v>15</v>
      </c>
      <c r="K190" t="s">
        <v>29</v>
      </c>
    </row>
    <row r="191" spans="1:11" x14ac:dyDescent="0.3">
      <c r="A191" t="s">
        <v>363</v>
      </c>
      <c r="B191" t="s">
        <v>362</v>
      </c>
      <c r="C191" t="s">
        <v>23</v>
      </c>
      <c r="D191" t="s">
        <v>31</v>
      </c>
      <c r="E191">
        <v>3</v>
      </c>
      <c r="F191">
        <v>25</v>
      </c>
      <c r="G191">
        <v>0.05</v>
      </c>
      <c r="H191">
        <v>71.25</v>
      </c>
      <c r="I191">
        <v>47.25</v>
      </c>
      <c r="J191" t="s">
        <v>15</v>
      </c>
      <c r="K191" t="s">
        <v>16</v>
      </c>
    </row>
    <row r="192" spans="1:11" x14ac:dyDescent="0.3">
      <c r="A192" t="s">
        <v>364</v>
      </c>
      <c r="B192" t="s">
        <v>365</v>
      </c>
      <c r="C192" t="s">
        <v>18</v>
      </c>
      <c r="D192" t="s">
        <v>77</v>
      </c>
      <c r="E192">
        <v>3</v>
      </c>
      <c r="F192">
        <v>1200</v>
      </c>
      <c r="G192">
        <v>0.1</v>
      </c>
      <c r="H192">
        <v>3240</v>
      </c>
      <c r="I192">
        <v>2340</v>
      </c>
      <c r="J192" t="s">
        <v>28</v>
      </c>
      <c r="K192" t="s">
        <v>29</v>
      </c>
    </row>
    <row r="193" spans="1:11" x14ac:dyDescent="0.3">
      <c r="A193" t="s">
        <v>366</v>
      </c>
      <c r="B193" t="s">
        <v>367</v>
      </c>
      <c r="C193" t="s">
        <v>18</v>
      </c>
      <c r="D193" t="s">
        <v>77</v>
      </c>
      <c r="E193">
        <v>3</v>
      </c>
      <c r="F193">
        <v>1200</v>
      </c>
      <c r="G193">
        <v>0.05</v>
      </c>
      <c r="H193">
        <v>3420</v>
      </c>
      <c r="I193">
        <v>2520</v>
      </c>
      <c r="J193" t="s">
        <v>44</v>
      </c>
      <c r="K193" t="s">
        <v>16</v>
      </c>
    </row>
    <row r="194" spans="1:11" x14ac:dyDescent="0.3">
      <c r="A194" t="s">
        <v>368</v>
      </c>
      <c r="B194" t="s">
        <v>369</v>
      </c>
      <c r="C194" t="s">
        <v>13</v>
      </c>
      <c r="D194" t="s">
        <v>41</v>
      </c>
      <c r="E194">
        <v>1</v>
      </c>
      <c r="F194">
        <v>450</v>
      </c>
      <c r="G194">
        <v>0</v>
      </c>
      <c r="H194">
        <v>450</v>
      </c>
      <c r="I194">
        <v>330</v>
      </c>
      <c r="J194" t="s">
        <v>28</v>
      </c>
      <c r="K194" t="s">
        <v>16</v>
      </c>
    </row>
    <row r="195" spans="1:11" x14ac:dyDescent="0.3">
      <c r="A195" t="s">
        <v>370</v>
      </c>
      <c r="B195" t="s">
        <v>369</v>
      </c>
      <c r="C195" t="s">
        <v>18</v>
      </c>
      <c r="D195" t="s">
        <v>77</v>
      </c>
      <c r="E195">
        <v>9</v>
      </c>
      <c r="F195">
        <v>1200</v>
      </c>
      <c r="G195">
        <v>0.15</v>
      </c>
      <c r="H195">
        <v>9180</v>
      </c>
      <c r="I195">
        <v>6480</v>
      </c>
      <c r="J195" t="s">
        <v>28</v>
      </c>
      <c r="K195" t="s">
        <v>29</v>
      </c>
    </row>
    <row r="196" spans="1:11" x14ac:dyDescent="0.3">
      <c r="A196" t="s">
        <v>371</v>
      </c>
      <c r="B196" t="s">
        <v>372</v>
      </c>
      <c r="C196" t="s">
        <v>13</v>
      </c>
      <c r="D196" t="s">
        <v>38</v>
      </c>
      <c r="E196">
        <v>9</v>
      </c>
      <c r="F196">
        <v>150</v>
      </c>
      <c r="G196">
        <v>0</v>
      </c>
      <c r="H196">
        <v>1350</v>
      </c>
      <c r="I196">
        <v>990</v>
      </c>
      <c r="J196" t="s">
        <v>28</v>
      </c>
      <c r="K196" t="s">
        <v>16</v>
      </c>
    </row>
    <row r="197" spans="1:11" x14ac:dyDescent="0.3">
      <c r="A197" t="s">
        <v>373</v>
      </c>
      <c r="B197" t="s">
        <v>374</v>
      </c>
      <c r="C197" t="s">
        <v>18</v>
      </c>
      <c r="D197" t="s">
        <v>77</v>
      </c>
      <c r="E197">
        <v>5</v>
      </c>
      <c r="F197">
        <v>1200</v>
      </c>
      <c r="G197">
        <v>0.1</v>
      </c>
      <c r="H197">
        <v>5400</v>
      </c>
      <c r="I197">
        <v>3900</v>
      </c>
      <c r="J197" t="s">
        <v>15</v>
      </c>
      <c r="K197" t="s">
        <v>16</v>
      </c>
    </row>
    <row r="198" spans="1:11" x14ac:dyDescent="0.3">
      <c r="A198" t="s">
        <v>375</v>
      </c>
      <c r="B198" t="s">
        <v>374</v>
      </c>
      <c r="C198" t="s">
        <v>18</v>
      </c>
      <c r="D198" t="s">
        <v>27</v>
      </c>
      <c r="E198">
        <v>5</v>
      </c>
      <c r="F198">
        <v>80</v>
      </c>
      <c r="G198">
        <v>0</v>
      </c>
      <c r="H198">
        <v>400</v>
      </c>
      <c r="I198">
        <v>250</v>
      </c>
      <c r="J198" t="s">
        <v>44</v>
      </c>
      <c r="K198" t="s">
        <v>32</v>
      </c>
    </row>
    <row r="199" spans="1:11" x14ac:dyDescent="0.3">
      <c r="A199" t="s">
        <v>376</v>
      </c>
      <c r="B199" t="s">
        <v>377</v>
      </c>
      <c r="C199" t="s">
        <v>18</v>
      </c>
      <c r="D199" t="s">
        <v>128</v>
      </c>
      <c r="E199">
        <v>5</v>
      </c>
      <c r="F199">
        <v>350</v>
      </c>
      <c r="G199">
        <v>0.2</v>
      </c>
      <c r="H199">
        <v>1400</v>
      </c>
      <c r="I199">
        <v>950</v>
      </c>
      <c r="J199" t="s">
        <v>15</v>
      </c>
      <c r="K199" t="s">
        <v>32</v>
      </c>
    </row>
    <row r="200" spans="1:11" x14ac:dyDescent="0.3">
      <c r="A200" t="s">
        <v>378</v>
      </c>
      <c r="B200" t="s">
        <v>379</v>
      </c>
      <c r="C200" t="s">
        <v>13</v>
      </c>
      <c r="D200" t="s">
        <v>38</v>
      </c>
      <c r="E200">
        <v>3</v>
      </c>
      <c r="F200">
        <v>150</v>
      </c>
      <c r="G200">
        <v>0</v>
      </c>
      <c r="H200">
        <v>450</v>
      </c>
      <c r="I200">
        <v>330</v>
      </c>
      <c r="J200" t="s">
        <v>20</v>
      </c>
      <c r="K200" t="s">
        <v>29</v>
      </c>
    </row>
    <row r="201" spans="1:11" x14ac:dyDescent="0.3">
      <c r="A201" t="s">
        <v>380</v>
      </c>
      <c r="B201" t="s">
        <v>381</v>
      </c>
      <c r="C201" t="s">
        <v>18</v>
      </c>
      <c r="D201" t="s">
        <v>27</v>
      </c>
      <c r="E201">
        <v>8</v>
      </c>
      <c r="F201">
        <v>80</v>
      </c>
      <c r="G201">
        <v>0</v>
      </c>
      <c r="H201">
        <v>640</v>
      </c>
      <c r="I201">
        <v>400</v>
      </c>
      <c r="J201" t="s">
        <v>15</v>
      </c>
      <c r="K201" t="s">
        <v>16</v>
      </c>
    </row>
    <row r="202" spans="1:11" x14ac:dyDescent="0.3">
      <c r="A202" t="s">
        <v>382</v>
      </c>
      <c r="B202" t="s">
        <v>381</v>
      </c>
      <c r="C202" t="s">
        <v>18</v>
      </c>
      <c r="D202" t="s">
        <v>19</v>
      </c>
      <c r="E202">
        <v>9</v>
      </c>
      <c r="F202">
        <v>40</v>
      </c>
      <c r="G202">
        <v>0.15</v>
      </c>
      <c r="H202">
        <v>306</v>
      </c>
      <c r="I202">
        <v>171</v>
      </c>
      <c r="J202" t="s">
        <v>15</v>
      </c>
      <c r="K202" t="s">
        <v>29</v>
      </c>
    </row>
    <row r="203" spans="1:11" x14ac:dyDescent="0.3">
      <c r="A203" t="s">
        <v>383</v>
      </c>
      <c r="B203" t="s">
        <v>384</v>
      </c>
      <c r="C203" t="s">
        <v>18</v>
      </c>
      <c r="D203" t="s">
        <v>19</v>
      </c>
      <c r="E203">
        <v>9</v>
      </c>
      <c r="F203">
        <v>40</v>
      </c>
      <c r="G203">
        <v>0</v>
      </c>
      <c r="H203">
        <v>360</v>
      </c>
      <c r="I203">
        <v>225</v>
      </c>
      <c r="J203" t="s">
        <v>28</v>
      </c>
      <c r="K203" t="s">
        <v>16</v>
      </c>
    </row>
    <row r="204" spans="1:11" x14ac:dyDescent="0.3">
      <c r="A204" t="s">
        <v>385</v>
      </c>
      <c r="B204" t="s">
        <v>386</v>
      </c>
      <c r="C204" t="s">
        <v>18</v>
      </c>
      <c r="D204" t="s">
        <v>61</v>
      </c>
      <c r="E204">
        <v>4</v>
      </c>
      <c r="F204">
        <v>25</v>
      </c>
      <c r="G204">
        <v>0.05</v>
      </c>
      <c r="H204">
        <v>95</v>
      </c>
      <c r="I204">
        <v>55</v>
      </c>
      <c r="J204" t="s">
        <v>20</v>
      </c>
      <c r="K204" t="s">
        <v>16</v>
      </c>
    </row>
    <row r="205" spans="1:11" x14ac:dyDescent="0.3">
      <c r="A205" t="s">
        <v>387</v>
      </c>
      <c r="B205" t="s">
        <v>388</v>
      </c>
      <c r="C205" t="s">
        <v>18</v>
      </c>
      <c r="D205" t="s">
        <v>19</v>
      </c>
      <c r="E205">
        <v>1</v>
      </c>
      <c r="F205">
        <v>40</v>
      </c>
      <c r="G205">
        <v>0.05</v>
      </c>
      <c r="H205">
        <v>38</v>
      </c>
      <c r="I205">
        <v>23</v>
      </c>
      <c r="J205" t="s">
        <v>15</v>
      </c>
      <c r="K205" t="s">
        <v>16</v>
      </c>
    </row>
    <row r="206" spans="1:11" x14ac:dyDescent="0.3">
      <c r="A206" t="s">
        <v>389</v>
      </c>
      <c r="B206" t="s">
        <v>388</v>
      </c>
      <c r="C206" t="s">
        <v>18</v>
      </c>
      <c r="D206" t="s">
        <v>19</v>
      </c>
      <c r="E206">
        <v>3</v>
      </c>
      <c r="F206">
        <v>40</v>
      </c>
      <c r="G206">
        <v>0</v>
      </c>
      <c r="H206">
        <v>120</v>
      </c>
      <c r="I206">
        <v>75</v>
      </c>
      <c r="J206" t="s">
        <v>15</v>
      </c>
      <c r="K206" t="s">
        <v>16</v>
      </c>
    </row>
    <row r="207" spans="1:11" x14ac:dyDescent="0.3">
      <c r="A207" t="s">
        <v>390</v>
      </c>
      <c r="B207" t="s">
        <v>391</v>
      </c>
      <c r="C207" t="s">
        <v>13</v>
      </c>
      <c r="D207" t="s">
        <v>41</v>
      </c>
      <c r="E207">
        <v>5</v>
      </c>
      <c r="F207">
        <v>450</v>
      </c>
      <c r="G207">
        <v>0</v>
      </c>
      <c r="H207">
        <v>2250</v>
      </c>
      <c r="I207">
        <v>1650</v>
      </c>
      <c r="J207" t="s">
        <v>28</v>
      </c>
      <c r="K207" t="s">
        <v>29</v>
      </c>
    </row>
    <row r="208" spans="1:11" x14ac:dyDescent="0.3">
      <c r="A208" t="s">
        <v>392</v>
      </c>
      <c r="B208" t="s">
        <v>393</v>
      </c>
      <c r="C208" t="s">
        <v>18</v>
      </c>
      <c r="D208" t="s">
        <v>27</v>
      </c>
      <c r="E208">
        <v>1</v>
      </c>
      <c r="F208">
        <v>80</v>
      </c>
      <c r="G208">
        <v>0.1</v>
      </c>
      <c r="H208">
        <v>72</v>
      </c>
      <c r="I208">
        <v>42</v>
      </c>
      <c r="J208" t="s">
        <v>20</v>
      </c>
      <c r="K208" t="s">
        <v>29</v>
      </c>
    </row>
    <row r="209" spans="1:11" x14ac:dyDescent="0.3">
      <c r="A209" t="s">
        <v>394</v>
      </c>
      <c r="B209" t="s">
        <v>393</v>
      </c>
      <c r="C209" t="s">
        <v>18</v>
      </c>
      <c r="D209" t="s">
        <v>27</v>
      </c>
      <c r="E209">
        <v>2</v>
      </c>
      <c r="F209">
        <v>80</v>
      </c>
      <c r="G209">
        <v>0.15</v>
      </c>
      <c r="H209">
        <v>136</v>
      </c>
      <c r="I209">
        <v>76</v>
      </c>
      <c r="J209" t="s">
        <v>28</v>
      </c>
      <c r="K209" t="s">
        <v>32</v>
      </c>
    </row>
    <row r="210" spans="1:11" x14ac:dyDescent="0.3">
      <c r="A210" t="s">
        <v>395</v>
      </c>
      <c r="B210" t="s">
        <v>396</v>
      </c>
      <c r="C210" t="s">
        <v>23</v>
      </c>
      <c r="D210" t="s">
        <v>58</v>
      </c>
      <c r="E210">
        <v>4</v>
      </c>
      <c r="F210">
        <v>8</v>
      </c>
      <c r="G210">
        <v>0.1</v>
      </c>
      <c r="H210">
        <v>28.8</v>
      </c>
      <c r="I210">
        <v>16.8</v>
      </c>
      <c r="J210" t="s">
        <v>15</v>
      </c>
      <c r="K210" t="s">
        <v>16</v>
      </c>
    </row>
    <row r="211" spans="1:11" x14ac:dyDescent="0.3">
      <c r="A211" t="s">
        <v>397</v>
      </c>
      <c r="B211" t="s">
        <v>398</v>
      </c>
      <c r="C211" t="s">
        <v>18</v>
      </c>
      <c r="D211" t="s">
        <v>27</v>
      </c>
      <c r="E211">
        <v>7</v>
      </c>
      <c r="F211">
        <v>80</v>
      </c>
      <c r="G211">
        <v>0</v>
      </c>
      <c r="H211">
        <v>560</v>
      </c>
      <c r="I211">
        <v>350</v>
      </c>
      <c r="J211" t="s">
        <v>15</v>
      </c>
      <c r="K211" t="s">
        <v>32</v>
      </c>
    </row>
    <row r="212" spans="1:11" x14ac:dyDescent="0.3">
      <c r="A212" t="s">
        <v>399</v>
      </c>
      <c r="B212" t="s">
        <v>400</v>
      </c>
      <c r="C212" t="s">
        <v>13</v>
      </c>
      <c r="D212" t="s">
        <v>14</v>
      </c>
      <c r="E212">
        <v>9</v>
      </c>
      <c r="F212">
        <v>110</v>
      </c>
      <c r="G212">
        <v>0</v>
      </c>
      <c r="H212">
        <v>990</v>
      </c>
      <c r="I212">
        <v>720</v>
      </c>
      <c r="J212" t="s">
        <v>20</v>
      </c>
      <c r="K212" t="s">
        <v>29</v>
      </c>
    </row>
    <row r="213" spans="1:11" x14ac:dyDescent="0.3">
      <c r="A213" t="s">
        <v>401</v>
      </c>
      <c r="B213" t="s">
        <v>400</v>
      </c>
      <c r="C213" t="s">
        <v>18</v>
      </c>
      <c r="D213" t="s">
        <v>61</v>
      </c>
      <c r="E213">
        <v>4</v>
      </c>
      <c r="F213">
        <v>25</v>
      </c>
      <c r="G213">
        <v>0.05</v>
      </c>
      <c r="H213">
        <v>95</v>
      </c>
      <c r="I213">
        <v>55</v>
      </c>
      <c r="J213" t="s">
        <v>15</v>
      </c>
      <c r="K213" t="s">
        <v>32</v>
      </c>
    </row>
    <row r="214" spans="1:11" x14ac:dyDescent="0.3">
      <c r="A214" t="s">
        <v>402</v>
      </c>
      <c r="B214" t="s">
        <v>403</v>
      </c>
      <c r="C214" t="s">
        <v>18</v>
      </c>
      <c r="D214" t="s">
        <v>128</v>
      </c>
      <c r="E214">
        <v>5</v>
      </c>
      <c r="F214">
        <v>350</v>
      </c>
      <c r="G214">
        <v>0.15</v>
      </c>
      <c r="H214">
        <v>1487.5</v>
      </c>
      <c r="I214">
        <v>1037.5</v>
      </c>
      <c r="J214" t="s">
        <v>28</v>
      </c>
      <c r="K214" t="s">
        <v>32</v>
      </c>
    </row>
    <row r="215" spans="1:11" x14ac:dyDescent="0.3">
      <c r="A215" t="s">
        <v>404</v>
      </c>
      <c r="B215" t="s">
        <v>405</v>
      </c>
      <c r="C215" t="s">
        <v>23</v>
      </c>
      <c r="D215" t="s">
        <v>31</v>
      </c>
      <c r="E215">
        <v>3</v>
      </c>
      <c r="F215">
        <v>25</v>
      </c>
      <c r="G215">
        <v>0</v>
      </c>
      <c r="H215">
        <v>75</v>
      </c>
      <c r="I215">
        <v>51</v>
      </c>
      <c r="J215" t="s">
        <v>44</v>
      </c>
      <c r="K215" t="s">
        <v>29</v>
      </c>
    </row>
    <row r="216" spans="1:11" x14ac:dyDescent="0.3">
      <c r="A216" t="s">
        <v>406</v>
      </c>
      <c r="B216" t="s">
        <v>407</v>
      </c>
      <c r="C216" t="s">
        <v>23</v>
      </c>
      <c r="D216" t="s">
        <v>58</v>
      </c>
      <c r="E216">
        <v>1</v>
      </c>
      <c r="F216">
        <v>8</v>
      </c>
      <c r="G216">
        <v>0.05</v>
      </c>
      <c r="H216">
        <v>7.6</v>
      </c>
      <c r="I216">
        <v>4.5999999999999996</v>
      </c>
      <c r="J216" t="s">
        <v>44</v>
      </c>
      <c r="K216" t="s">
        <v>32</v>
      </c>
    </row>
    <row r="217" spans="1:11" x14ac:dyDescent="0.3">
      <c r="A217" t="s">
        <v>408</v>
      </c>
      <c r="B217" t="s">
        <v>407</v>
      </c>
      <c r="C217" t="s">
        <v>13</v>
      </c>
      <c r="D217" t="s">
        <v>67</v>
      </c>
      <c r="E217">
        <v>9</v>
      </c>
      <c r="F217">
        <v>35</v>
      </c>
      <c r="G217">
        <v>0.15</v>
      </c>
      <c r="H217">
        <v>267.75</v>
      </c>
      <c r="I217">
        <v>159.75</v>
      </c>
      <c r="J217" t="s">
        <v>20</v>
      </c>
      <c r="K217" t="s">
        <v>29</v>
      </c>
    </row>
    <row r="218" spans="1:11" x14ac:dyDescent="0.3">
      <c r="A218" t="s">
        <v>409</v>
      </c>
      <c r="B218" t="s">
        <v>410</v>
      </c>
      <c r="C218" t="s">
        <v>23</v>
      </c>
      <c r="D218" t="s">
        <v>43</v>
      </c>
      <c r="E218">
        <v>7</v>
      </c>
      <c r="F218">
        <v>20</v>
      </c>
      <c r="G218">
        <v>0.05</v>
      </c>
      <c r="H218">
        <v>133</v>
      </c>
      <c r="I218">
        <v>84</v>
      </c>
      <c r="J218" t="s">
        <v>15</v>
      </c>
      <c r="K218" t="s">
        <v>16</v>
      </c>
    </row>
    <row r="219" spans="1:11" x14ac:dyDescent="0.3">
      <c r="A219" t="s">
        <v>411</v>
      </c>
      <c r="B219" t="s">
        <v>412</v>
      </c>
      <c r="C219" t="s">
        <v>23</v>
      </c>
      <c r="D219" t="s">
        <v>58</v>
      </c>
      <c r="E219">
        <v>4</v>
      </c>
      <c r="F219">
        <v>8</v>
      </c>
      <c r="G219">
        <v>0.1</v>
      </c>
      <c r="H219">
        <v>28.8</v>
      </c>
      <c r="I219">
        <v>16.8</v>
      </c>
      <c r="J219" t="s">
        <v>44</v>
      </c>
      <c r="K219" t="s">
        <v>16</v>
      </c>
    </row>
    <row r="220" spans="1:11" x14ac:dyDescent="0.3">
      <c r="A220" t="s">
        <v>413</v>
      </c>
      <c r="B220" t="s">
        <v>414</v>
      </c>
      <c r="C220" t="s">
        <v>18</v>
      </c>
      <c r="D220" t="s">
        <v>128</v>
      </c>
      <c r="E220">
        <v>4</v>
      </c>
      <c r="F220">
        <v>350</v>
      </c>
      <c r="G220">
        <v>0</v>
      </c>
      <c r="H220">
        <v>1400</v>
      </c>
      <c r="I220">
        <v>1040</v>
      </c>
      <c r="J220" t="s">
        <v>15</v>
      </c>
      <c r="K220" t="s">
        <v>29</v>
      </c>
    </row>
    <row r="221" spans="1:11" x14ac:dyDescent="0.3">
      <c r="A221" t="s">
        <v>415</v>
      </c>
      <c r="B221" t="s">
        <v>414</v>
      </c>
      <c r="C221" t="s">
        <v>18</v>
      </c>
      <c r="D221" t="s">
        <v>19</v>
      </c>
      <c r="E221">
        <v>5</v>
      </c>
      <c r="F221">
        <v>40</v>
      </c>
      <c r="G221">
        <v>0.05</v>
      </c>
      <c r="H221">
        <v>190</v>
      </c>
      <c r="I221">
        <v>115</v>
      </c>
      <c r="J221" t="s">
        <v>44</v>
      </c>
      <c r="K221" t="s">
        <v>32</v>
      </c>
    </row>
    <row r="222" spans="1:11" x14ac:dyDescent="0.3">
      <c r="A222" t="s">
        <v>416</v>
      </c>
      <c r="B222" t="s">
        <v>417</v>
      </c>
      <c r="C222" t="s">
        <v>18</v>
      </c>
      <c r="D222" t="s">
        <v>19</v>
      </c>
      <c r="E222">
        <v>2</v>
      </c>
      <c r="F222">
        <v>40</v>
      </c>
      <c r="G222">
        <v>0.05</v>
      </c>
      <c r="H222">
        <v>76</v>
      </c>
      <c r="I222">
        <v>46</v>
      </c>
      <c r="J222" t="s">
        <v>44</v>
      </c>
      <c r="K222" t="s">
        <v>32</v>
      </c>
    </row>
    <row r="223" spans="1:11" x14ac:dyDescent="0.3">
      <c r="A223" t="s">
        <v>418</v>
      </c>
      <c r="B223" t="s">
        <v>419</v>
      </c>
      <c r="C223" t="s">
        <v>23</v>
      </c>
      <c r="D223" t="s">
        <v>58</v>
      </c>
      <c r="E223">
        <v>9</v>
      </c>
      <c r="F223">
        <v>8</v>
      </c>
      <c r="G223">
        <v>0.15</v>
      </c>
      <c r="H223">
        <v>61.2</v>
      </c>
      <c r="I223">
        <v>34.200000000000003</v>
      </c>
      <c r="J223" t="s">
        <v>20</v>
      </c>
      <c r="K223" t="s">
        <v>16</v>
      </c>
    </row>
    <row r="224" spans="1:11" x14ac:dyDescent="0.3">
      <c r="A224" t="s">
        <v>420</v>
      </c>
      <c r="B224" t="s">
        <v>419</v>
      </c>
      <c r="C224" t="s">
        <v>13</v>
      </c>
      <c r="D224" t="s">
        <v>51</v>
      </c>
      <c r="E224">
        <v>1</v>
      </c>
      <c r="F224">
        <v>250</v>
      </c>
      <c r="G224">
        <v>0</v>
      </c>
      <c r="H224">
        <v>250</v>
      </c>
      <c r="I224">
        <v>180</v>
      </c>
      <c r="J224" t="s">
        <v>20</v>
      </c>
      <c r="K224" t="s">
        <v>16</v>
      </c>
    </row>
    <row r="225" spans="1:11" x14ac:dyDescent="0.3">
      <c r="A225" t="s">
        <v>421</v>
      </c>
      <c r="B225" t="s">
        <v>422</v>
      </c>
      <c r="C225" t="s">
        <v>13</v>
      </c>
      <c r="D225" t="s">
        <v>67</v>
      </c>
      <c r="E225">
        <v>4</v>
      </c>
      <c r="F225">
        <v>35</v>
      </c>
      <c r="G225">
        <v>0</v>
      </c>
      <c r="H225">
        <v>140</v>
      </c>
      <c r="I225">
        <v>92</v>
      </c>
      <c r="J225" t="s">
        <v>20</v>
      </c>
      <c r="K225" t="s">
        <v>32</v>
      </c>
    </row>
    <row r="226" spans="1:11" x14ac:dyDescent="0.3">
      <c r="A226" t="s">
        <v>423</v>
      </c>
      <c r="B226" t="s">
        <v>424</v>
      </c>
      <c r="C226" t="s">
        <v>18</v>
      </c>
      <c r="D226" t="s">
        <v>77</v>
      </c>
      <c r="E226">
        <v>1</v>
      </c>
      <c r="F226">
        <v>1200</v>
      </c>
      <c r="G226">
        <v>0.15</v>
      </c>
      <c r="H226">
        <v>1020</v>
      </c>
      <c r="I226">
        <v>720</v>
      </c>
      <c r="J226" t="s">
        <v>15</v>
      </c>
      <c r="K226" t="s">
        <v>32</v>
      </c>
    </row>
    <row r="227" spans="1:11" x14ac:dyDescent="0.3">
      <c r="A227" t="s">
        <v>425</v>
      </c>
      <c r="B227" t="s">
        <v>426</v>
      </c>
      <c r="C227" t="s">
        <v>13</v>
      </c>
      <c r="D227" t="s">
        <v>41</v>
      </c>
      <c r="E227">
        <v>6</v>
      </c>
      <c r="F227">
        <v>450</v>
      </c>
      <c r="G227">
        <v>0.05</v>
      </c>
      <c r="H227">
        <v>2565</v>
      </c>
      <c r="I227">
        <v>1845</v>
      </c>
      <c r="J227" t="s">
        <v>20</v>
      </c>
      <c r="K227" t="s">
        <v>32</v>
      </c>
    </row>
    <row r="228" spans="1:11" x14ac:dyDescent="0.3">
      <c r="A228" t="s">
        <v>427</v>
      </c>
      <c r="B228" t="s">
        <v>426</v>
      </c>
      <c r="C228" t="s">
        <v>18</v>
      </c>
      <c r="D228" t="s">
        <v>128</v>
      </c>
      <c r="E228">
        <v>1</v>
      </c>
      <c r="F228">
        <v>350</v>
      </c>
      <c r="G228">
        <v>0.2</v>
      </c>
      <c r="H228">
        <v>280</v>
      </c>
      <c r="I228">
        <v>190</v>
      </c>
      <c r="J228" t="s">
        <v>15</v>
      </c>
      <c r="K228" t="s">
        <v>32</v>
      </c>
    </row>
    <row r="229" spans="1:11" x14ac:dyDescent="0.3">
      <c r="A229" t="s">
        <v>428</v>
      </c>
      <c r="B229" t="s">
        <v>429</v>
      </c>
      <c r="C229" t="s">
        <v>13</v>
      </c>
      <c r="D229" t="s">
        <v>51</v>
      </c>
      <c r="E229">
        <v>7</v>
      </c>
      <c r="F229">
        <v>250</v>
      </c>
      <c r="G229">
        <v>0.05</v>
      </c>
      <c r="H229">
        <v>1662.5</v>
      </c>
      <c r="I229">
        <v>1172.5</v>
      </c>
      <c r="J229" t="s">
        <v>15</v>
      </c>
      <c r="K229" t="s">
        <v>32</v>
      </c>
    </row>
    <row r="230" spans="1:11" x14ac:dyDescent="0.3">
      <c r="A230" t="s">
        <v>430</v>
      </c>
      <c r="B230" t="s">
        <v>431</v>
      </c>
      <c r="C230" t="s">
        <v>23</v>
      </c>
      <c r="D230" t="s">
        <v>43</v>
      </c>
      <c r="E230">
        <v>4</v>
      </c>
      <c r="F230">
        <v>20</v>
      </c>
      <c r="G230">
        <v>0</v>
      </c>
      <c r="H230">
        <v>80</v>
      </c>
      <c r="I230">
        <v>52</v>
      </c>
      <c r="J230" t="s">
        <v>28</v>
      </c>
      <c r="K230" t="s">
        <v>16</v>
      </c>
    </row>
    <row r="231" spans="1:11" x14ac:dyDescent="0.3">
      <c r="A231" t="s">
        <v>432</v>
      </c>
      <c r="B231" t="s">
        <v>433</v>
      </c>
      <c r="C231" t="s">
        <v>23</v>
      </c>
      <c r="D231" t="s">
        <v>43</v>
      </c>
      <c r="E231">
        <v>6</v>
      </c>
      <c r="F231">
        <v>20</v>
      </c>
      <c r="G231">
        <v>0.1</v>
      </c>
      <c r="H231">
        <v>108</v>
      </c>
      <c r="I231">
        <v>66</v>
      </c>
      <c r="J231" t="s">
        <v>44</v>
      </c>
      <c r="K231" t="s">
        <v>29</v>
      </c>
    </row>
    <row r="232" spans="1:11" x14ac:dyDescent="0.3">
      <c r="A232" t="s">
        <v>434</v>
      </c>
      <c r="B232" t="s">
        <v>433</v>
      </c>
      <c r="C232" t="s">
        <v>13</v>
      </c>
      <c r="D232" t="s">
        <v>41</v>
      </c>
      <c r="E232">
        <v>2</v>
      </c>
      <c r="F232">
        <v>450</v>
      </c>
      <c r="G232">
        <v>0</v>
      </c>
      <c r="H232">
        <v>900</v>
      </c>
      <c r="I232">
        <v>660</v>
      </c>
      <c r="J232" t="s">
        <v>15</v>
      </c>
      <c r="K232" t="s">
        <v>16</v>
      </c>
    </row>
    <row r="233" spans="1:11" x14ac:dyDescent="0.3">
      <c r="A233" t="s">
        <v>435</v>
      </c>
      <c r="B233" t="s">
        <v>436</v>
      </c>
      <c r="C233" t="s">
        <v>23</v>
      </c>
      <c r="D233" t="s">
        <v>24</v>
      </c>
      <c r="E233">
        <v>3</v>
      </c>
      <c r="F233">
        <v>10</v>
      </c>
      <c r="G233">
        <v>0.2</v>
      </c>
      <c r="H233">
        <v>24</v>
      </c>
      <c r="I233">
        <v>12</v>
      </c>
      <c r="J233" t="s">
        <v>44</v>
      </c>
      <c r="K233" t="s">
        <v>16</v>
      </c>
    </row>
    <row r="234" spans="1:11" x14ac:dyDescent="0.3">
      <c r="A234" t="s">
        <v>437</v>
      </c>
      <c r="B234" t="s">
        <v>438</v>
      </c>
      <c r="C234" t="s">
        <v>23</v>
      </c>
      <c r="D234" t="s">
        <v>58</v>
      </c>
      <c r="E234">
        <v>2</v>
      </c>
      <c r="F234">
        <v>8</v>
      </c>
      <c r="G234">
        <v>0</v>
      </c>
      <c r="H234">
        <v>16</v>
      </c>
      <c r="I234">
        <v>10</v>
      </c>
      <c r="J234" t="s">
        <v>20</v>
      </c>
      <c r="K234" t="s">
        <v>16</v>
      </c>
    </row>
    <row r="235" spans="1:11" x14ac:dyDescent="0.3">
      <c r="A235" t="s">
        <v>439</v>
      </c>
      <c r="B235" t="s">
        <v>438</v>
      </c>
      <c r="C235" t="s">
        <v>13</v>
      </c>
      <c r="D235" t="s">
        <v>38</v>
      </c>
      <c r="E235">
        <v>3</v>
      </c>
      <c r="F235">
        <v>150</v>
      </c>
      <c r="G235">
        <v>0</v>
      </c>
      <c r="H235">
        <v>450</v>
      </c>
      <c r="I235">
        <v>330</v>
      </c>
      <c r="J235" t="s">
        <v>44</v>
      </c>
      <c r="K235" t="s">
        <v>16</v>
      </c>
    </row>
    <row r="236" spans="1:11" x14ac:dyDescent="0.3">
      <c r="A236" t="s">
        <v>440</v>
      </c>
      <c r="B236" t="s">
        <v>441</v>
      </c>
      <c r="C236" t="s">
        <v>13</v>
      </c>
      <c r="D236" t="s">
        <v>51</v>
      </c>
      <c r="E236">
        <v>7</v>
      </c>
      <c r="F236">
        <v>250</v>
      </c>
      <c r="G236">
        <v>0</v>
      </c>
      <c r="H236">
        <v>1750</v>
      </c>
      <c r="I236">
        <v>1260</v>
      </c>
      <c r="J236" t="s">
        <v>28</v>
      </c>
      <c r="K236" t="s">
        <v>29</v>
      </c>
    </row>
    <row r="237" spans="1:11" x14ac:dyDescent="0.3">
      <c r="A237" t="s">
        <v>442</v>
      </c>
      <c r="B237" t="s">
        <v>443</v>
      </c>
      <c r="C237" t="s">
        <v>23</v>
      </c>
      <c r="D237" t="s">
        <v>43</v>
      </c>
      <c r="E237">
        <v>5</v>
      </c>
      <c r="F237">
        <v>20</v>
      </c>
      <c r="G237">
        <v>0</v>
      </c>
      <c r="H237">
        <v>100</v>
      </c>
      <c r="I237">
        <v>65</v>
      </c>
      <c r="J237" t="s">
        <v>44</v>
      </c>
      <c r="K237" t="s">
        <v>32</v>
      </c>
    </row>
    <row r="238" spans="1:11" x14ac:dyDescent="0.3">
      <c r="A238" t="s">
        <v>444</v>
      </c>
      <c r="B238" t="s">
        <v>445</v>
      </c>
      <c r="C238" t="s">
        <v>18</v>
      </c>
      <c r="D238" t="s">
        <v>77</v>
      </c>
      <c r="E238">
        <v>3</v>
      </c>
      <c r="F238">
        <v>1200</v>
      </c>
      <c r="G238">
        <v>0.05</v>
      </c>
      <c r="H238">
        <v>3420</v>
      </c>
      <c r="I238">
        <v>2520</v>
      </c>
      <c r="J238" t="s">
        <v>44</v>
      </c>
      <c r="K238" t="s">
        <v>29</v>
      </c>
    </row>
    <row r="239" spans="1:11" x14ac:dyDescent="0.3">
      <c r="A239" t="s">
        <v>446</v>
      </c>
      <c r="B239" t="s">
        <v>445</v>
      </c>
      <c r="C239" t="s">
        <v>13</v>
      </c>
      <c r="D239" t="s">
        <v>41</v>
      </c>
      <c r="E239">
        <v>2</v>
      </c>
      <c r="F239">
        <v>450</v>
      </c>
      <c r="G239">
        <v>0.1</v>
      </c>
      <c r="H239">
        <v>810</v>
      </c>
      <c r="I239">
        <v>570</v>
      </c>
      <c r="J239" t="s">
        <v>20</v>
      </c>
      <c r="K239" t="s">
        <v>32</v>
      </c>
    </row>
    <row r="240" spans="1:11" x14ac:dyDescent="0.3">
      <c r="A240" t="s">
        <v>447</v>
      </c>
      <c r="B240" t="s">
        <v>448</v>
      </c>
      <c r="C240" t="s">
        <v>18</v>
      </c>
      <c r="D240" t="s">
        <v>19</v>
      </c>
      <c r="E240">
        <v>3</v>
      </c>
      <c r="F240">
        <v>40</v>
      </c>
      <c r="G240">
        <v>0.05</v>
      </c>
      <c r="H240">
        <v>114</v>
      </c>
      <c r="I240">
        <v>69</v>
      </c>
      <c r="J240" t="s">
        <v>20</v>
      </c>
      <c r="K240" t="s">
        <v>29</v>
      </c>
    </row>
    <row r="241" spans="1:11" x14ac:dyDescent="0.3">
      <c r="A241" t="s">
        <v>449</v>
      </c>
      <c r="B241" t="s">
        <v>450</v>
      </c>
      <c r="C241" t="s">
        <v>18</v>
      </c>
      <c r="D241" t="s">
        <v>128</v>
      </c>
      <c r="E241">
        <v>7</v>
      </c>
      <c r="F241">
        <v>350</v>
      </c>
      <c r="G241">
        <v>0.05</v>
      </c>
      <c r="H241">
        <v>2327.5</v>
      </c>
      <c r="I241">
        <v>1697.5</v>
      </c>
      <c r="J241" t="s">
        <v>44</v>
      </c>
      <c r="K241" t="s">
        <v>29</v>
      </c>
    </row>
    <row r="242" spans="1:11" x14ac:dyDescent="0.3">
      <c r="A242" t="s">
        <v>451</v>
      </c>
      <c r="B242" t="s">
        <v>452</v>
      </c>
      <c r="C242" t="s">
        <v>13</v>
      </c>
      <c r="D242" t="s">
        <v>14</v>
      </c>
      <c r="E242">
        <v>9</v>
      </c>
      <c r="F242">
        <v>110</v>
      </c>
      <c r="G242">
        <v>0</v>
      </c>
      <c r="H242">
        <v>990</v>
      </c>
      <c r="I242">
        <v>720</v>
      </c>
      <c r="J242" t="s">
        <v>28</v>
      </c>
      <c r="K242" t="s">
        <v>29</v>
      </c>
    </row>
    <row r="243" spans="1:11" x14ac:dyDescent="0.3">
      <c r="A243" t="s">
        <v>453</v>
      </c>
      <c r="B243" t="s">
        <v>452</v>
      </c>
      <c r="C243" t="s">
        <v>13</v>
      </c>
      <c r="D243" t="s">
        <v>51</v>
      </c>
      <c r="E243">
        <v>4</v>
      </c>
      <c r="F243">
        <v>250</v>
      </c>
      <c r="G243">
        <v>0.05</v>
      </c>
      <c r="H243">
        <v>950</v>
      </c>
      <c r="I243">
        <v>670</v>
      </c>
      <c r="J243" t="s">
        <v>15</v>
      </c>
      <c r="K243" t="s">
        <v>16</v>
      </c>
    </row>
    <row r="244" spans="1:11" x14ac:dyDescent="0.3">
      <c r="A244" t="s">
        <v>454</v>
      </c>
      <c r="B244" t="s">
        <v>455</v>
      </c>
      <c r="C244" t="s">
        <v>23</v>
      </c>
      <c r="D244" t="s">
        <v>24</v>
      </c>
      <c r="E244">
        <v>3</v>
      </c>
      <c r="F244">
        <v>10</v>
      </c>
      <c r="G244">
        <v>0.05</v>
      </c>
      <c r="H244">
        <v>28.5</v>
      </c>
      <c r="I244">
        <v>16.5</v>
      </c>
      <c r="J244" t="s">
        <v>44</v>
      </c>
      <c r="K244" t="s">
        <v>29</v>
      </c>
    </row>
    <row r="245" spans="1:11" x14ac:dyDescent="0.3">
      <c r="A245" t="s">
        <v>456</v>
      </c>
      <c r="B245" t="s">
        <v>457</v>
      </c>
      <c r="C245" t="s">
        <v>18</v>
      </c>
      <c r="D245" t="s">
        <v>19</v>
      </c>
      <c r="E245">
        <v>7</v>
      </c>
      <c r="F245">
        <v>40</v>
      </c>
      <c r="G245">
        <v>0</v>
      </c>
      <c r="H245">
        <v>280</v>
      </c>
      <c r="I245">
        <v>175</v>
      </c>
      <c r="J245" t="s">
        <v>15</v>
      </c>
      <c r="K245" t="s">
        <v>16</v>
      </c>
    </row>
    <row r="246" spans="1:11" x14ac:dyDescent="0.3">
      <c r="A246" t="s">
        <v>458</v>
      </c>
      <c r="B246" t="s">
        <v>457</v>
      </c>
      <c r="C246" t="s">
        <v>18</v>
      </c>
      <c r="D246" t="s">
        <v>61</v>
      </c>
      <c r="E246">
        <v>9</v>
      </c>
      <c r="F246">
        <v>25</v>
      </c>
      <c r="G246">
        <v>0</v>
      </c>
      <c r="H246">
        <v>225</v>
      </c>
      <c r="I246">
        <v>135</v>
      </c>
      <c r="J246" t="s">
        <v>15</v>
      </c>
      <c r="K246" t="s">
        <v>29</v>
      </c>
    </row>
    <row r="247" spans="1:11" x14ac:dyDescent="0.3">
      <c r="A247" t="s">
        <v>459</v>
      </c>
      <c r="B247" t="s">
        <v>460</v>
      </c>
      <c r="C247" t="s">
        <v>23</v>
      </c>
      <c r="D247" t="s">
        <v>43</v>
      </c>
      <c r="E247">
        <v>9</v>
      </c>
      <c r="F247">
        <v>20</v>
      </c>
      <c r="G247">
        <v>0.05</v>
      </c>
      <c r="H247">
        <v>171</v>
      </c>
      <c r="I247">
        <v>108</v>
      </c>
      <c r="J247" t="s">
        <v>44</v>
      </c>
      <c r="K247" t="s">
        <v>29</v>
      </c>
    </row>
    <row r="248" spans="1:11" x14ac:dyDescent="0.3">
      <c r="A248" t="s">
        <v>461</v>
      </c>
      <c r="B248" t="s">
        <v>462</v>
      </c>
      <c r="C248" t="s">
        <v>23</v>
      </c>
      <c r="D248" t="s">
        <v>43</v>
      </c>
      <c r="E248">
        <v>8</v>
      </c>
      <c r="F248">
        <v>20</v>
      </c>
      <c r="G248">
        <v>0.05</v>
      </c>
      <c r="H248">
        <v>152</v>
      </c>
      <c r="I248">
        <v>96</v>
      </c>
      <c r="J248" t="s">
        <v>28</v>
      </c>
      <c r="K248" t="s">
        <v>16</v>
      </c>
    </row>
    <row r="249" spans="1:11" x14ac:dyDescent="0.3">
      <c r="A249" t="s">
        <v>463</v>
      </c>
      <c r="B249" t="s">
        <v>464</v>
      </c>
      <c r="C249" t="s">
        <v>18</v>
      </c>
      <c r="D249" t="s">
        <v>61</v>
      </c>
      <c r="E249">
        <v>2</v>
      </c>
      <c r="F249">
        <v>25</v>
      </c>
      <c r="G249">
        <v>0</v>
      </c>
      <c r="H249">
        <v>50</v>
      </c>
      <c r="I249">
        <v>30</v>
      </c>
      <c r="J249" t="s">
        <v>15</v>
      </c>
      <c r="K249" t="s">
        <v>16</v>
      </c>
    </row>
    <row r="250" spans="1:11" x14ac:dyDescent="0.3">
      <c r="A250" t="s">
        <v>465</v>
      </c>
      <c r="B250" t="s">
        <v>464</v>
      </c>
      <c r="C250" t="s">
        <v>13</v>
      </c>
      <c r="D250" t="s">
        <v>38</v>
      </c>
      <c r="E250">
        <v>6</v>
      </c>
      <c r="F250">
        <v>150</v>
      </c>
      <c r="G250">
        <v>0</v>
      </c>
      <c r="H250">
        <v>900</v>
      </c>
      <c r="I250">
        <v>660</v>
      </c>
      <c r="J250" t="s">
        <v>15</v>
      </c>
      <c r="K250" t="s">
        <v>16</v>
      </c>
    </row>
    <row r="251" spans="1:11" x14ac:dyDescent="0.3">
      <c r="A251" t="s">
        <v>466</v>
      </c>
      <c r="B251" t="s">
        <v>467</v>
      </c>
      <c r="C251" t="s">
        <v>13</v>
      </c>
      <c r="D251" t="s">
        <v>67</v>
      </c>
      <c r="E251">
        <v>4</v>
      </c>
      <c r="F251">
        <v>35</v>
      </c>
      <c r="G251">
        <v>0.2</v>
      </c>
      <c r="H251">
        <v>112</v>
      </c>
      <c r="I251">
        <v>64</v>
      </c>
      <c r="J251" t="s">
        <v>28</v>
      </c>
      <c r="K251" t="s">
        <v>16</v>
      </c>
    </row>
    <row r="252" spans="1:11" x14ac:dyDescent="0.3">
      <c r="A252" t="s">
        <v>468</v>
      </c>
      <c r="B252" t="s">
        <v>469</v>
      </c>
      <c r="C252" t="s">
        <v>23</v>
      </c>
      <c r="D252" t="s">
        <v>24</v>
      </c>
      <c r="E252">
        <v>9</v>
      </c>
      <c r="F252">
        <v>10</v>
      </c>
      <c r="G252">
        <v>0.05</v>
      </c>
      <c r="H252">
        <v>85.5</v>
      </c>
      <c r="I252">
        <v>49.5</v>
      </c>
      <c r="J252" t="s">
        <v>15</v>
      </c>
      <c r="K252" t="s">
        <v>29</v>
      </c>
    </row>
    <row r="253" spans="1:11" x14ac:dyDescent="0.3">
      <c r="A253" t="s">
        <v>470</v>
      </c>
      <c r="B253" t="s">
        <v>471</v>
      </c>
      <c r="C253" t="s">
        <v>18</v>
      </c>
      <c r="D253" t="s">
        <v>128</v>
      </c>
      <c r="E253">
        <v>7</v>
      </c>
      <c r="F253">
        <v>350</v>
      </c>
      <c r="G253">
        <v>0</v>
      </c>
      <c r="H253">
        <v>2450</v>
      </c>
      <c r="I253">
        <v>1820</v>
      </c>
      <c r="J253" t="s">
        <v>44</v>
      </c>
      <c r="K253" t="s">
        <v>29</v>
      </c>
    </row>
    <row r="254" spans="1:11" x14ac:dyDescent="0.3">
      <c r="A254" t="s">
        <v>472</v>
      </c>
      <c r="B254" t="s">
        <v>471</v>
      </c>
      <c r="C254" t="s">
        <v>18</v>
      </c>
      <c r="D254" t="s">
        <v>61</v>
      </c>
      <c r="E254">
        <v>5</v>
      </c>
      <c r="F254">
        <v>25</v>
      </c>
      <c r="G254">
        <v>0</v>
      </c>
      <c r="H254">
        <v>125</v>
      </c>
      <c r="I254">
        <v>75</v>
      </c>
      <c r="J254" t="s">
        <v>20</v>
      </c>
      <c r="K254" t="s">
        <v>29</v>
      </c>
    </row>
    <row r="255" spans="1:11" x14ac:dyDescent="0.3">
      <c r="A255" t="s">
        <v>473</v>
      </c>
      <c r="B255" t="s">
        <v>474</v>
      </c>
      <c r="C255" t="s">
        <v>23</v>
      </c>
      <c r="D255" t="s">
        <v>24</v>
      </c>
      <c r="E255">
        <v>1</v>
      </c>
      <c r="F255">
        <v>10</v>
      </c>
      <c r="G255">
        <v>0.1</v>
      </c>
      <c r="H255">
        <v>9</v>
      </c>
      <c r="I255">
        <v>5</v>
      </c>
      <c r="J255" t="s">
        <v>28</v>
      </c>
      <c r="K255" t="s">
        <v>29</v>
      </c>
    </row>
    <row r="256" spans="1:11" x14ac:dyDescent="0.3">
      <c r="A256" t="s">
        <v>475</v>
      </c>
      <c r="B256" t="s">
        <v>476</v>
      </c>
      <c r="C256" t="s">
        <v>13</v>
      </c>
      <c r="D256" t="s">
        <v>51</v>
      </c>
      <c r="E256">
        <v>8</v>
      </c>
      <c r="F256">
        <v>250</v>
      </c>
      <c r="G256">
        <v>0.15</v>
      </c>
      <c r="H256">
        <v>1700</v>
      </c>
      <c r="I256">
        <v>1140</v>
      </c>
      <c r="J256" t="s">
        <v>20</v>
      </c>
      <c r="K256" t="s">
        <v>16</v>
      </c>
    </row>
    <row r="257" spans="1:11" x14ac:dyDescent="0.3">
      <c r="A257" t="s">
        <v>477</v>
      </c>
      <c r="B257" t="s">
        <v>478</v>
      </c>
      <c r="C257" t="s">
        <v>23</v>
      </c>
      <c r="D257" t="s">
        <v>43</v>
      </c>
      <c r="E257">
        <v>1</v>
      </c>
      <c r="F257">
        <v>20</v>
      </c>
      <c r="G257">
        <v>0.05</v>
      </c>
      <c r="H257">
        <v>19</v>
      </c>
      <c r="I257">
        <v>12</v>
      </c>
      <c r="J257" t="s">
        <v>28</v>
      </c>
      <c r="K257" t="s">
        <v>32</v>
      </c>
    </row>
    <row r="258" spans="1:11" x14ac:dyDescent="0.3">
      <c r="A258" t="s">
        <v>479</v>
      </c>
      <c r="B258" t="s">
        <v>478</v>
      </c>
      <c r="C258" t="s">
        <v>23</v>
      </c>
      <c r="D258" t="s">
        <v>35</v>
      </c>
      <c r="E258">
        <v>2</v>
      </c>
      <c r="F258">
        <v>15</v>
      </c>
      <c r="G258">
        <v>0.2</v>
      </c>
      <c r="H258">
        <v>24</v>
      </c>
      <c r="I258">
        <v>14</v>
      </c>
      <c r="J258" t="s">
        <v>15</v>
      </c>
      <c r="K258" t="s">
        <v>32</v>
      </c>
    </row>
    <row r="259" spans="1:11" x14ac:dyDescent="0.3">
      <c r="A259" t="s">
        <v>480</v>
      </c>
      <c r="B259" t="s">
        <v>481</v>
      </c>
      <c r="C259" t="s">
        <v>13</v>
      </c>
      <c r="D259" t="s">
        <v>14</v>
      </c>
      <c r="E259">
        <v>9</v>
      </c>
      <c r="F259">
        <v>110</v>
      </c>
      <c r="G259">
        <v>0</v>
      </c>
      <c r="H259">
        <v>990</v>
      </c>
      <c r="I259">
        <v>720</v>
      </c>
      <c r="J259" t="s">
        <v>15</v>
      </c>
      <c r="K259" t="s">
        <v>16</v>
      </c>
    </row>
    <row r="260" spans="1:11" x14ac:dyDescent="0.3">
      <c r="A260" t="s">
        <v>482</v>
      </c>
      <c r="B260" t="s">
        <v>483</v>
      </c>
      <c r="C260" t="s">
        <v>23</v>
      </c>
      <c r="D260" t="s">
        <v>43</v>
      </c>
      <c r="E260">
        <v>6</v>
      </c>
      <c r="F260">
        <v>20</v>
      </c>
      <c r="G260">
        <v>0</v>
      </c>
      <c r="H260">
        <v>120</v>
      </c>
      <c r="I260">
        <v>78</v>
      </c>
      <c r="J260" t="s">
        <v>28</v>
      </c>
      <c r="K260" t="s">
        <v>32</v>
      </c>
    </row>
    <row r="261" spans="1:11" x14ac:dyDescent="0.3">
      <c r="A261" t="s">
        <v>484</v>
      </c>
      <c r="B261" t="s">
        <v>483</v>
      </c>
      <c r="C261" t="s">
        <v>18</v>
      </c>
      <c r="D261" t="s">
        <v>19</v>
      </c>
      <c r="E261">
        <v>1</v>
      </c>
      <c r="F261">
        <v>40</v>
      </c>
      <c r="G261">
        <v>0</v>
      </c>
      <c r="H261">
        <v>40</v>
      </c>
      <c r="I261">
        <v>25</v>
      </c>
      <c r="J261" t="s">
        <v>44</v>
      </c>
      <c r="K261" t="s">
        <v>16</v>
      </c>
    </row>
    <row r="262" spans="1:11" x14ac:dyDescent="0.3">
      <c r="A262" t="s">
        <v>485</v>
      </c>
      <c r="B262" t="s">
        <v>486</v>
      </c>
      <c r="C262" t="s">
        <v>18</v>
      </c>
      <c r="D262" t="s">
        <v>128</v>
      </c>
      <c r="E262">
        <v>7</v>
      </c>
      <c r="F262">
        <v>350</v>
      </c>
      <c r="G262">
        <v>0.05</v>
      </c>
      <c r="H262">
        <v>2327.5</v>
      </c>
      <c r="I262">
        <v>1697.5</v>
      </c>
      <c r="J262" t="s">
        <v>44</v>
      </c>
      <c r="K262" t="s">
        <v>29</v>
      </c>
    </row>
    <row r="263" spans="1:11" x14ac:dyDescent="0.3">
      <c r="A263" t="s">
        <v>487</v>
      </c>
      <c r="B263" t="s">
        <v>488</v>
      </c>
      <c r="C263" t="s">
        <v>13</v>
      </c>
      <c r="D263" t="s">
        <v>51</v>
      </c>
      <c r="E263">
        <v>3</v>
      </c>
      <c r="F263">
        <v>250</v>
      </c>
      <c r="G263">
        <v>0</v>
      </c>
      <c r="H263">
        <v>750</v>
      </c>
      <c r="I263">
        <v>540</v>
      </c>
      <c r="J263" t="s">
        <v>15</v>
      </c>
      <c r="K263" t="s">
        <v>29</v>
      </c>
    </row>
    <row r="264" spans="1:11" x14ac:dyDescent="0.3">
      <c r="A264" t="s">
        <v>489</v>
      </c>
      <c r="B264" t="s">
        <v>490</v>
      </c>
      <c r="C264" t="s">
        <v>23</v>
      </c>
      <c r="D264" t="s">
        <v>24</v>
      </c>
      <c r="E264">
        <v>2</v>
      </c>
      <c r="F264">
        <v>10</v>
      </c>
      <c r="G264">
        <v>0</v>
      </c>
      <c r="H264">
        <v>20</v>
      </c>
      <c r="I264">
        <v>12</v>
      </c>
      <c r="J264" t="s">
        <v>44</v>
      </c>
      <c r="K264" t="s">
        <v>32</v>
      </c>
    </row>
    <row r="265" spans="1:11" x14ac:dyDescent="0.3">
      <c r="A265" t="s">
        <v>491</v>
      </c>
      <c r="B265" t="s">
        <v>490</v>
      </c>
      <c r="C265" t="s">
        <v>13</v>
      </c>
      <c r="D265" t="s">
        <v>67</v>
      </c>
      <c r="E265">
        <v>5</v>
      </c>
      <c r="F265">
        <v>35</v>
      </c>
      <c r="G265">
        <v>0.1</v>
      </c>
      <c r="H265">
        <v>157.5</v>
      </c>
      <c r="I265">
        <v>97.5</v>
      </c>
      <c r="J265" t="s">
        <v>15</v>
      </c>
      <c r="K265" t="s">
        <v>16</v>
      </c>
    </row>
    <row r="266" spans="1:11" x14ac:dyDescent="0.3">
      <c r="A266" t="s">
        <v>492</v>
      </c>
      <c r="B266" t="s">
        <v>493</v>
      </c>
      <c r="C266" t="s">
        <v>13</v>
      </c>
      <c r="D266" t="s">
        <v>67</v>
      </c>
      <c r="E266">
        <v>4</v>
      </c>
      <c r="F266">
        <v>35</v>
      </c>
      <c r="G266">
        <v>0.05</v>
      </c>
      <c r="H266">
        <v>133</v>
      </c>
      <c r="I266">
        <v>85</v>
      </c>
      <c r="J266" t="s">
        <v>20</v>
      </c>
      <c r="K266" t="s">
        <v>32</v>
      </c>
    </row>
    <row r="267" spans="1:11" x14ac:dyDescent="0.3">
      <c r="A267" t="s">
        <v>494</v>
      </c>
      <c r="B267" t="s">
        <v>495</v>
      </c>
      <c r="C267" t="s">
        <v>23</v>
      </c>
      <c r="D267" t="s">
        <v>58</v>
      </c>
      <c r="E267">
        <v>5</v>
      </c>
      <c r="F267">
        <v>8</v>
      </c>
      <c r="G267">
        <v>0</v>
      </c>
      <c r="H267">
        <v>40</v>
      </c>
      <c r="I267">
        <v>25</v>
      </c>
      <c r="J267" t="s">
        <v>15</v>
      </c>
      <c r="K267" t="s">
        <v>29</v>
      </c>
    </row>
    <row r="268" spans="1:11" x14ac:dyDescent="0.3">
      <c r="A268" t="s">
        <v>496</v>
      </c>
      <c r="B268" t="s">
        <v>497</v>
      </c>
      <c r="C268" t="s">
        <v>23</v>
      </c>
      <c r="D268" t="s">
        <v>35</v>
      </c>
      <c r="E268">
        <v>4</v>
      </c>
      <c r="F268">
        <v>15</v>
      </c>
      <c r="G268">
        <v>0.15</v>
      </c>
      <c r="H268">
        <v>51</v>
      </c>
      <c r="I268">
        <v>31</v>
      </c>
      <c r="J268" t="s">
        <v>15</v>
      </c>
      <c r="K268" t="s">
        <v>32</v>
      </c>
    </row>
    <row r="269" spans="1:11" x14ac:dyDescent="0.3">
      <c r="A269" t="s">
        <v>498</v>
      </c>
      <c r="B269" t="s">
        <v>497</v>
      </c>
      <c r="C269" t="s">
        <v>13</v>
      </c>
      <c r="D269" t="s">
        <v>41</v>
      </c>
      <c r="E269">
        <v>4</v>
      </c>
      <c r="F269">
        <v>450</v>
      </c>
      <c r="G269">
        <v>0</v>
      </c>
      <c r="H269">
        <v>1800</v>
      </c>
      <c r="I269">
        <v>1320</v>
      </c>
      <c r="J269" t="s">
        <v>15</v>
      </c>
      <c r="K269" t="s">
        <v>16</v>
      </c>
    </row>
    <row r="270" spans="1:11" x14ac:dyDescent="0.3">
      <c r="A270" t="s">
        <v>499</v>
      </c>
      <c r="B270" t="s">
        <v>500</v>
      </c>
      <c r="C270" t="s">
        <v>23</v>
      </c>
      <c r="D270" t="s">
        <v>58</v>
      </c>
      <c r="E270">
        <v>8</v>
      </c>
      <c r="F270">
        <v>8</v>
      </c>
      <c r="G270">
        <v>0</v>
      </c>
      <c r="H270">
        <v>64</v>
      </c>
      <c r="I270">
        <v>40</v>
      </c>
      <c r="J270" t="s">
        <v>20</v>
      </c>
      <c r="K270" t="s">
        <v>29</v>
      </c>
    </row>
    <row r="271" spans="1:11" x14ac:dyDescent="0.3">
      <c r="A271" t="s">
        <v>501</v>
      </c>
      <c r="B271" t="s">
        <v>502</v>
      </c>
      <c r="C271" t="s">
        <v>18</v>
      </c>
      <c r="D271" t="s">
        <v>128</v>
      </c>
      <c r="E271">
        <v>9</v>
      </c>
      <c r="F271">
        <v>350</v>
      </c>
      <c r="G271">
        <v>0.05</v>
      </c>
      <c r="H271">
        <v>2992.5</v>
      </c>
      <c r="I271">
        <v>2182.5</v>
      </c>
      <c r="J271" t="s">
        <v>15</v>
      </c>
      <c r="K271" t="s">
        <v>32</v>
      </c>
    </row>
    <row r="272" spans="1:11" x14ac:dyDescent="0.3">
      <c r="A272" t="s">
        <v>503</v>
      </c>
      <c r="B272" t="s">
        <v>502</v>
      </c>
      <c r="C272" t="s">
        <v>23</v>
      </c>
      <c r="D272" t="s">
        <v>35</v>
      </c>
      <c r="E272">
        <v>8</v>
      </c>
      <c r="F272">
        <v>15</v>
      </c>
      <c r="G272">
        <v>0.2</v>
      </c>
      <c r="H272">
        <v>96</v>
      </c>
      <c r="I272">
        <v>56</v>
      </c>
      <c r="J272" t="s">
        <v>44</v>
      </c>
      <c r="K272" t="s">
        <v>32</v>
      </c>
    </row>
    <row r="273" spans="1:11" x14ac:dyDescent="0.3">
      <c r="A273" t="s">
        <v>504</v>
      </c>
      <c r="B273" t="s">
        <v>505</v>
      </c>
      <c r="C273" t="s">
        <v>13</v>
      </c>
      <c r="D273" t="s">
        <v>14</v>
      </c>
      <c r="E273">
        <v>7</v>
      </c>
      <c r="F273">
        <v>110</v>
      </c>
      <c r="G273">
        <v>0.05</v>
      </c>
      <c r="H273">
        <v>731.5</v>
      </c>
      <c r="I273">
        <v>521.5</v>
      </c>
      <c r="J273" t="s">
        <v>44</v>
      </c>
      <c r="K273" t="s">
        <v>29</v>
      </c>
    </row>
    <row r="274" spans="1:11" x14ac:dyDescent="0.3">
      <c r="A274" t="s">
        <v>506</v>
      </c>
      <c r="B274" t="s">
        <v>507</v>
      </c>
      <c r="C274" t="s">
        <v>23</v>
      </c>
      <c r="D274" t="s">
        <v>24</v>
      </c>
      <c r="E274">
        <v>8</v>
      </c>
      <c r="F274">
        <v>10</v>
      </c>
      <c r="G274">
        <v>0</v>
      </c>
      <c r="H274">
        <v>80</v>
      </c>
      <c r="I274">
        <v>48</v>
      </c>
      <c r="J274" t="s">
        <v>28</v>
      </c>
      <c r="K274" t="s">
        <v>32</v>
      </c>
    </row>
    <row r="275" spans="1:11" x14ac:dyDescent="0.3">
      <c r="A275" t="s">
        <v>508</v>
      </c>
      <c r="B275" t="s">
        <v>509</v>
      </c>
      <c r="C275" t="s">
        <v>13</v>
      </c>
      <c r="D275" t="s">
        <v>41</v>
      </c>
      <c r="E275">
        <v>5</v>
      </c>
      <c r="F275">
        <v>450</v>
      </c>
      <c r="G275">
        <v>0</v>
      </c>
      <c r="H275">
        <v>2250</v>
      </c>
      <c r="I275">
        <v>1650</v>
      </c>
      <c r="J275" t="s">
        <v>20</v>
      </c>
      <c r="K275" t="s">
        <v>32</v>
      </c>
    </row>
    <row r="276" spans="1:11" x14ac:dyDescent="0.3">
      <c r="A276" t="s">
        <v>510</v>
      </c>
      <c r="B276" t="s">
        <v>509</v>
      </c>
      <c r="C276" t="s">
        <v>23</v>
      </c>
      <c r="D276" t="s">
        <v>35</v>
      </c>
      <c r="E276">
        <v>2</v>
      </c>
      <c r="F276">
        <v>15</v>
      </c>
      <c r="G276">
        <v>0.1</v>
      </c>
      <c r="H276">
        <v>27</v>
      </c>
      <c r="I276">
        <v>17</v>
      </c>
      <c r="J276" t="s">
        <v>15</v>
      </c>
      <c r="K276" t="s">
        <v>29</v>
      </c>
    </row>
    <row r="277" spans="1:11" x14ac:dyDescent="0.3">
      <c r="A277" t="s">
        <v>511</v>
      </c>
      <c r="B277" t="s">
        <v>512</v>
      </c>
      <c r="C277" t="s">
        <v>18</v>
      </c>
      <c r="D277" t="s">
        <v>77</v>
      </c>
      <c r="E277">
        <v>3</v>
      </c>
      <c r="F277">
        <v>1200</v>
      </c>
      <c r="G277">
        <v>0.15</v>
      </c>
      <c r="H277">
        <v>3060</v>
      </c>
      <c r="I277">
        <v>2160</v>
      </c>
      <c r="J277" t="s">
        <v>44</v>
      </c>
      <c r="K277" t="s">
        <v>29</v>
      </c>
    </row>
    <row r="278" spans="1:11" x14ac:dyDescent="0.3">
      <c r="A278" t="s">
        <v>513</v>
      </c>
      <c r="B278" t="s">
        <v>514</v>
      </c>
      <c r="C278" t="s">
        <v>18</v>
      </c>
      <c r="D278" t="s">
        <v>19</v>
      </c>
      <c r="E278">
        <v>3</v>
      </c>
      <c r="F278">
        <v>40</v>
      </c>
      <c r="G278">
        <v>0.05</v>
      </c>
      <c r="H278">
        <v>114</v>
      </c>
      <c r="I278">
        <v>69</v>
      </c>
      <c r="J278" t="s">
        <v>44</v>
      </c>
      <c r="K278" t="s">
        <v>16</v>
      </c>
    </row>
    <row r="279" spans="1:11" x14ac:dyDescent="0.3">
      <c r="A279" t="s">
        <v>515</v>
      </c>
      <c r="B279" t="s">
        <v>516</v>
      </c>
      <c r="C279" t="s">
        <v>13</v>
      </c>
      <c r="D279" t="s">
        <v>14</v>
      </c>
      <c r="E279">
        <v>9</v>
      </c>
      <c r="F279">
        <v>110</v>
      </c>
      <c r="G279">
        <v>0</v>
      </c>
      <c r="H279">
        <v>990</v>
      </c>
      <c r="I279">
        <v>720</v>
      </c>
      <c r="J279" t="s">
        <v>28</v>
      </c>
      <c r="K279" t="s">
        <v>16</v>
      </c>
    </row>
    <row r="280" spans="1:11" x14ac:dyDescent="0.3">
      <c r="A280" t="s">
        <v>517</v>
      </c>
      <c r="B280" t="s">
        <v>516</v>
      </c>
      <c r="C280" t="s">
        <v>23</v>
      </c>
      <c r="D280" t="s">
        <v>58</v>
      </c>
      <c r="E280">
        <v>6</v>
      </c>
      <c r="F280">
        <v>8</v>
      </c>
      <c r="G280">
        <v>0</v>
      </c>
      <c r="H280">
        <v>48</v>
      </c>
      <c r="I280">
        <v>30</v>
      </c>
      <c r="J280" t="s">
        <v>20</v>
      </c>
      <c r="K280" t="s">
        <v>16</v>
      </c>
    </row>
    <row r="281" spans="1:11" x14ac:dyDescent="0.3">
      <c r="A281" t="s">
        <v>518</v>
      </c>
      <c r="B281" t="s">
        <v>519</v>
      </c>
      <c r="C281" t="s">
        <v>18</v>
      </c>
      <c r="D281" t="s">
        <v>27</v>
      </c>
      <c r="E281">
        <v>4</v>
      </c>
      <c r="F281">
        <v>80</v>
      </c>
      <c r="G281">
        <v>0.1</v>
      </c>
      <c r="H281">
        <v>288</v>
      </c>
      <c r="I281">
        <v>168</v>
      </c>
      <c r="J281" t="s">
        <v>20</v>
      </c>
      <c r="K281" t="s">
        <v>16</v>
      </c>
    </row>
    <row r="282" spans="1:11" x14ac:dyDescent="0.3">
      <c r="A282" t="s">
        <v>520</v>
      </c>
      <c r="B282" t="s">
        <v>521</v>
      </c>
      <c r="C282" t="s">
        <v>18</v>
      </c>
      <c r="D282" t="s">
        <v>19</v>
      </c>
      <c r="E282">
        <v>1</v>
      </c>
      <c r="F282">
        <v>40</v>
      </c>
      <c r="G282">
        <v>0.05</v>
      </c>
      <c r="H282">
        <v>38</v>
      </c>
      <c r="I282">
        <v>23</v>
      </c>
      <c r="J282" t="s">
        <v>44</v>
      </c>
      <c r="K282" t="s">
        <v>16</v>
      </c>
    </row>
    <row r="283" spans="1:11" x14ac:dyDescent="0.3">
      <c r="A283" t="s">
        <v>522</v>
      </c>
      <c r="B283" t="s">
        <v>521</v>
      </c>
      <c r="C283" t="s">
        <v>18</v>
      </c>
      <c r="D283" t="s">
        <v>128</v>
      </c>
      <c r="E283">
        <v>1</v>
      </c>
      <c r="F283">
        <v>350</v>
      </c>
      <c r="G283">
        <v>0.1</v>
      </c>
      <c r="H283">
        <v>315</v>
      </c>
      <c r="I283">
        <v>225</v>
      </c>
      <c r="J283" t="s">
        <v>20</v>
      </c>
      <c r="K283" t="s">
        <v>16</v>
      </c>
    </row>
    <row r="284" spans="1:11" x14ac:dyDescent="0.3">
      <c r="A284" t="s">
        <v>523</v>
      </c>
      <c r="B284" t="s">
        <v>524</v>
      </c>
      <c r="C284" t="s">
        <v>13</v>
      </c>
      <c r="D284" t="s">
        <v>41</v>
      </c>
      <c r="E284">
        <v>3</v>
      </c>
      <c r="F284">
        <v>450</v>
      </c>
      <c r="G284">
        <v>0.05</v>
      </c>
      <c r="H284">
        <v>1282.5</v>
      </c>
      <c r="I284">
        <v>922.5</v>
      </c>
      <c r="J284" t="s">
        <v>44</v>
      </c>
      <c r="K284" t="s">
        <v>16</v>
      </c>
    </row>
    <row r="285" spans="1:11" x14ac:dyDescent="0.3">
      <c r="A285" t="s">
        <v>525</v>
      </c>
      <c r="B285" t="s">
        <v>526</v>
      </c>
      <c r="C285" t="s">
        <v>23</v>
      </c>
      <c r="D285" t="s">
        <v>43</v>
      </c>
      <c r="E285">
        <v>2</v>
      </c>
      <c r="F285">
        <v>20</v>
      </c>
      <c r="G285">
        <v>0</v>
      </c>
      <c r="H285">
        <v>40</v>
      </c>
      <c r="I285">
        <v>26</v>
      </c>
      <c r="J285" t="s">
        <v>28</v>
      </c>
      <c r="K285" t="s">
        <v>29</v>
      </c>
    </row>
    <row r="286" spans="1:11" x14ac:dyDescent="0.3">
      <c r="A286" t="s">
        <v>527</v>
      </c>
      <c r="B286" t="s">
        <v>528</v>
      </c>
      <c r="C286" t="s">
        <v>18</v>
      </c>
      <c r="D286" t="s">
        <v>128</v>
      </c>
      <c r="E286">
        <v>4</v>
      </c>
      <c r="F286">
        <v>350</v>
      </c>
      <c r="G286">
        <v>0.2</v>
      </c>
      <c r="H286">
        <v>1120</v>
      </c>
      <c r="I286">
        <v>760</v>
      </c>
      <c r="J286" t="s">
        <v>20</v>
      </c>
      <c r="K286" t="s">
        <v>29</v>
      </c>
    </row>
    <row r="287" spans="1:11" x14ac:dyDescent="0.3">
      <c r="A287" t="s">
        <v>529</v>
      </c>
      <c r="B287" t="s">
        <v>528</v>
      </c>
      <c r="C287" t="s">
        <v>18</v>
      </c>
      <c r="D287" t="s">
        <v>61</v>
      </c>
      <c r="E287">
        <v>9</v>
      </c>
      <c r="F287">
        <v>25</v>
      </c>
      <c r="G287">
        <v>0.1</v>
      </c>
      <c r="H287">
        <v>202.5</v>
      </c>
      <c r="I287">
        <v>112.5</v>
      </c>
      <c r="J287" t="s">
        <v>15</v>
      </c>
      <c r="K287" t="s">
        <v>16</v>
      </c>
    </row>
    <row r="288" spans="1:11" x14ac:dyDescent="0.3">
      <c r="A288" t="s">
        <v>530</v>
      </c>
      <c r="B288" t="s">
        <v>531</v>
      </c>
      <c r="C288" t="s">
        <v>23</v>
      </c>
      <c r="D288" t="s">
        <v>58</v>
      </c>
      <c r="E288">
        <v>7</v>
      </c>
      <c r="F288">
        <v>8</v>
      </c>
      <c r="G288">
        <v>0</v>
      </c>
      <c r="H288">
        <v>56</v>
      </c>
      <c r="I288">
        <v>35</v>
      </c>
      <c r="J288" t="s">
        <v>15</v>
      </c>
      <c r="K288" t="s">
        <v>32</v>
      </c>
    </row>
    <row r="289" spans="1:11" x14ac:dyDescent="0.3">
      <c r="A289" t="s">
        <v>532</v>
      </c>
      <c r="B289" t="s">
        <v>533</v>
      </c>
      <c r="C289" t="s">
        <v>23</v>
      </c>
      <c r="D289" t="s">
        <v>43</v>
      </c>
      <c r="E289">
        <v>1</v>
      </c>
      <c r="F289">
        <v>20</v>
      </c>
      <c r="G289">
        <v>0.1</v>
      </c>
      <c r="H289">
        <v>18</v>
      </c>
      <c r="I289">
        <v>11</v>
      </c>
      <c r="J289" t="s">
        <v>44</v>
      </c>
      <c r="K289" t="s">
        <v>29</v>
      </c>
    </row>
    <row r="290" spans="1:11" x14ac:dyDescent="0.3">
      <c r="A290" t="s">
        <v>534</v>
      </c>
      <c r="B290" t="s">
        <v>535</v>
      </c>
      <c r="C290" t="s">
        <v>18</v>
      </c>
      <c r="D290" t="s">
        <v>77</v>
      </c>
      <c r="E290">
        <v>5</v>
      </c>
      <c r="F290">
        <v>1200</v>
      </c>
      <c r="G290">
        <v>0.1</v>
      </c>
      <c r="H290">
        <v>5400</v>
      </c>
      <c r="I290">
        <v>3900</v>
      </c>
      <c r="J290" t="s">
        <v>20</v>
      </c>
      <c r="K290" t="s">
        <v>29</v>
      </c>
    </row>
    <row r="291" spans="1:11" x14ac:dyDescent="0.3">
      <c r="A291" t="s">
        <v>536</v>
      </c>
      <c r="B291" t="s">
        <v>535</v>
      </c>
      <c r="C291" t="s">
        <v>18</v>
      </c>
      <c r="D291" t="s">
        <v>77</v>
      </c>
      <c r="E291">
        <v>7</v>
      </c>
      <c r="F291">
        <v>1200</v>
      </c>
      <c r="G291">
        <v>0</v>
      </c>
      <c r="H291">
        <v>8400</v>
      </c>
      <c r="I291">
        <v>6300</v>
      </c>
      <c r="J291" t="s">
        <v>44</v>
      </c>
      <c r="K291" t="s">
        <v>16</v>
      </c>
    </row>
    <row r="292" spans="1:11" x14ac:dyDescent="0.3">
      <c r="A292" t="s">
        <v>537</v>
      </c>
      <c r="B292" t="s">
        <v>538</v>
      </c>
      <c r="C292" t="s">
        <v>23</v>
      </c>
      <c r="D292" t="s">
        <v>35</v>
      </c>
      <c r="E292">
        <v>1</v>
      </c>
      <c r="F292">
        <v>15</v>
      </c>
      <c r="G292">
        <v>0</v>
      </c>
      <c r="H292">
        <v>15</v>
      </c>
      <c r="I292">
        <v>10</v>
      </c>
      <c r="J292" t="s">
        <v>44</v>
      </c>
      <c r="K292" t="s">
        <v>29</v>
      </c>
    </row>
    <row r="293" spans="1:11" x14ac:dyDescent="0.3">
      <c r="A293" t="s">
        <v>539</v>
      </c>
      <c r="B293" t="s">
        <v>540</v>
      </c>
      <c r="C293" t="s">
        <v>13</v>
      </c>
      <c r="D293" t="s">
        <v>38</v>
      </c>
      <c r="E293">
        <v>6</v>
      </c>
      <c r="F293">
        <v>150</v>
      </c>
      <c r="G293">
        <v>0</v>
      </c>
      <c r="H293">
        <v>900</v>
      </c>
      <c r="I293">
        <v>660</v>
      </c>
      <c r="J293" t="s">
        <v>28</v>
      </c>
      <c r="K293" t="s">
        <v>32</v>
      </c>
    </row>
    <row r="294" spans="1:11" x14ac:dyDescent="0.3">
      <c r="A294" t="s">
        <v>541</v>
      </c>
      <c r="B294" t="s">
        <v>542</v>
      </c>
      <c r="C294" t="s">
        <v>18</v>
      </c>
      <c r="D294" t="s">
        <v>77</v>
      </c>
      <c r="E294">
        <v>6</v>
      </c>
      <c r="F294">
        <v>1200</v>
      </c>
      <c r="G294">
        <v>0.1</v>
      </c>
      <c r="H294">
        <v>6480</v>
      </c>
      <c r="I294">
        <v>4680</v>
      </c>
      <c r="J294" t="s">
        <v>44</v>
      </c>
      <c r="K294" t="s">
        <v>32</v>
      </c>
    </row>
    <row r="295" spans="1:11" x14ac:dyDescent="0.3">
      <c r="A295" t="s">
        <v>543</v>
      </c>
      <c r="B295" t="s">
        <v>542</v>
      </c>
      <c r="C295" t="s">
        <v>23</v>
      </c>
      <c r="D295" t="s">
        <v>58</v>
      </c>
      <c r="E295">
        <v>7</v>
      </c>
      <c r="F295">
        <v>8</v>
      </c>
      <c r="G295">
        <v>0</v>
      </c>
      <c r="H295">
        <v>56</v>
      </c>
      <c r="I295">
        <v>35</v>
      </c>
      <c r="J295" t="s">
        <v>15</v>
      </c>
      <c r="K295" t="s">
        <v>29</v>
      </c>
    </row>
    <row r="296" spans="1:11" x14ac:dyDescent="0.3">
      <c r="A296" t="s">
        <v>544</v>
      </c>
      <c r="B296" t="s">
        <v>545</v>
      </c>
      <c r="C296" t="s">
        <v>18</v>
      </c>
      <c r="D296" t="s">
        <v>61</v>
      </c>
      <c r="E296">
        <v>3</v>
      </c>
      <c r="F296">
        <v>25</v>
      </c>
      <c r="G296">
        <v>0</v>
      </c>
      <c r="H296">
        <v>75</v>
      </c>
      <c r="I296">
        <v>45</v>
      </c>
      <c r="J296" t="s">
        <v>28</v>
      </c>
      <c r="K296" t="s">
        <v>29</v>
      </c>
    </row>
    <row r="297" spans="1:11" x14ac:dyDescent="0.3">
      <c r="A297" t="s">
        <v>546</v>
      </c>
      <c r="B297" t="s">
        <v>547</v>
      </c>
      <c r="C297" t="s">
        <v>23</v>
      </c>
      <c r="D297" t="s">
        <v>35</v>
      </c>
      <c r="E297">
        <v>6</v>
      </c>
      <c r="F297">
        <v>15</v>
      </c>
      <c r="G297">
        <v>0</v>
      </c>
      <c r="H297">
        <v>90</v>
      </c>
      <c r="I297">
        <v>60</v>
      </c>
      <c r="J297" t="s">
        <v>20</v>
      </c>
      <c r="K297" t="s">
        <v>16</v>
      </c>
    </row>
    <row r="298" spans="1:11" x14ac:dyDescent="0.3">
      <c r="A298" t="s">
        <v>548</v>
      </c>
      <c r="B298" t="s">
        <v>547</v>
      </c>
      <c r="C298" t="s">
        <v>23</v>
      </c>
      <c r="D298" t="s">
        <v>31</v>
      </c>
      <c r="E298">
        <v>4</v>
      </c>
      <c r="F298">
        <v>25</v>
      </c>
      <c r="G298">
        <v>0.05</v>
      </c>
      <c r="H298">
        <v>95</v>
      </c>
      <c r="I298">
        <v>63</v>
      </c>
      <c r="J298" t="s">
        <v>44</v>
      </c>
      <c r="K298" t="s">
        <v>16</v>
      </c>
    </row>
    <row r="299" spans="1:11" x14ac:dyDescent="0.3">
      <c r="A299" t="s">
        <v>549</v>
      </c>
      <c r="B299" t="s">
        <v>550</v>
      </c>
      <c r="C299" t="s">
        <v>13</v>
      </c>
      <c r="D299" t="s">
        <v>14</v>
      </c>
      <c r="E299">
        <v>2</v>
      </c>
      <c r="F299">
        <v>110</v>
      </c>
      <c r="G299">
        <v>0.05</v>
      </c>
      <c r="H299">
        <v>209</v>
      </c>
      <c r="I299">
        <v>149</v>
      </c>
      <c r="J299" t="s">
        <v>15</v>
      </c>
      <c r="K299" t="s">
        <v>16</v>
      </c>
    </row>
    <row r="300" spans="1:11" x14ac:dyDescent="0.3">
      <c r="A300" t="s">
        <v>551</v>
      </c>
      <c r="B300" t="s">
        <v>552</v>
      </c>
      <c r="C300" t="s">
        <v>23</v>
      </c>
      <c r="D300" t="s">
        <v>43</v>
      </c>
      <c r="E300">
        <v>4</v>
      </c>
      <c r="F300">
        <v>20</v>
      </c>
      <c r="G300">
        <v>0</v>
      </c>
      <c r="H300">
        <v>80</v>
      </c>
      <c r="I300">
        <v>52</v>
      </c>
      <c r="J300" t="s">
        <v>15</v>
      </c>
      <c r="K300" t="s">
        <v>29</v>
      </c>
    </row>
    <row r="301" spans="1:11" x14ac:dyDescent="0.3">
      <c r="A301" t="s">
        <v>553</v>
      </c>
      <c r="B301" t="s">
        <v>554</v>
      </c>
      <c r="C301" t="s">
        <v>18</v>
      </c>
      <c r="D301" t="s">
        <v>61</v>
      </c>
      <c r="E301">
        <v>7</v>
      </c>
      <c r="F301">
        <v>25</v>
      </c>
      <c r="G301">
        <v>0</v>
      </c>
      <c r="H301">
        <v>175</v>
      </c>
      <c r="I301">
        <v>105</v>
      </c>
      <c r="J301" t="s">
        <v>15</v>
      </c>
      <c r="K301" t="s">
        <v>29</v>
      </c>
    </row>
    <row r="302" spans="1:11" x14ac:dyDescent="0.3">
      <c r="A302" t="s">
        <v>555</v>
      </c>
      <c r="B302" t="s">
        <v>554</v>
      </c>
      <c r="C302" t="s">
        <v>13</v>
      </c>
      <c r="D302" t="s">
        <v>41</v>
      </c>
      <c r="E302">
        <v>2</v>
      </c>
      <c r="F302">
        <v>450</v>
      </c>
      <c r="G302">
        <v>0</v>
      </c>
      <c r="H302">
        <v>900</v>
      </c>
      <c r="I302">
        <v>660</v>
      </c>
      <c r="J302" t="s">
        <v>20</v>
      </c>
      <c r="K302" t="s">
        <v>32</v>
      </c>
    </row>
    <row r="303" spans="1:11" x14ac:dyDescent="0.3">
      <c r="A303" t="s">
        <v>556</v>
      </c>
      <c r="B303" t="s">
        <v>557</v>
      </c>
      <c r="C303" t="s">
        <v>18</v>
      </c>
      <c r="D303" t="s">
        <v>27</v>
      </c>
      <c r="E303">
        <v>5</v>
      </c>
      <c r="F303">
        <v>80</v>
      </c>
      <c r="G303">
        <v>0</v>
      </c>
      <c r="H303">
        <v>400</v>
      </c>
      <c r="I303">
        <v>250</v>
      </c>
      <c r="J303" t="s">
        <v>44</v>
      </c>
      <c r="K303" t="s">
        <v>16</v>
      </c>
    </row>
    <row r="304" spans="1:11" x14ac:dyDescent="0.3">
      <c r="A304" t="s">
        <v>558</v>
      </c>
      <c r="B304" t="s">
        <v>559</v>
      </c>
      <c r="C304" t="s">
        <v>23</v>
      </c>
      <c r="D304" t="s">
        <v>43</v>
      </c>
      <c r="E304">
        <v>1</v>
      </c>
      <c r="F304">
        <v>20</v>
      </c>
      <c r="G304">
        <v>0.05</v>
      </c>
      <c r="H304">
        <v>19</v>
      </c>
      <c r="I304">
        <v>12</v>
      </c>
      <c r="J304" t="s">
        <v>28</v>
      </c>
      <c r="K304" t="s">
        <v>32</v>
      </c>
    </row>
    <row r="305" spans="1:11" x14ac:dyDescent="0.3">
      <c r="A305" t="s">
        <v>560</v>
      </c>
      <c r="B305" t="s">
        <v>561</v>
      </c>
      <c r="C305" t="s">
        <v>13</v>
      </c>
      <c r="D305" t="s">
        <v>67</v>
      </c>
      <c r="E305">
        <v>4</v>
      </c>
      <c r="F305">
        <v>35</v>
      </c>
      <c r="G305">
        <v>0.05</v>
      </c>
      <c r="H305">
        <v>133</v>
      </c>
      <c r="I305">
        <v>85</v>
      </c>
      <c r="J305" t="s">
        <v>28</v>
      </c>
      <c r="K305" t="s">
        <v>29</v>
      </c>
    </row>
    <row r="306" spans="1:11" x14ac:dyDescent="0.3">
      <c r="A306" t="s">
        <v>562</v>
      </c>
      <c r="B306" t="s">
        <v>561</v>
      </c>
      <c r="C306" t="s">
        <v>23</v>
      </c>
      <c r="D306" t="s">
        <v>31</v>
      </c>
      <c r="E306">
        <v>3</v>
      </c>
      <c r="F306">
        <v>25</v>
      </c>
      <c r="G306">
        <v>0</v>
      </c>
      <c r="H306">
        <v>75</v>
      </c>
      <c r="I306">
        <v>51</v>
      </c>
      <c r="J306" t="s">
        <v>44</v>
      </c>
      <c r="K306" t="s">
        <v>32</v>
      </c>
    </row>
    <row r="307" spans="1:11" x14ac:dyDescent="0.3">
      <c r="A307" t="s">
        <v>563</v>
      </c>
      <c r="B307" t="s">
        <v>564</v>
      </c>
      <c r="C307" t="s">
        <v>23</v>
      </c>
      <c r="D307" t="s">
        <v>31</v>
      </c>
      <c r="E307">
        <v>7</v>
      </c>
      <c r="F307">
        <v>25</v>
      </c>
      <c r="G307">
        <v>0</v>
      </c>
      <c r="H307">
        <v>175</v>
      </c>
      <c r="I307">
        <v>119</v>
      </c>
      <c r="J307" t="s">
        <v>44</v>
      </c>
      <c r="K307" t="s">
        <v>16</v>
      </c>
    </row>
    <row r="308" spans="1:11" x14ac:dyDescent="0.3">
      <c r="A308" t="s">
        <v>565</v>
      </c>
      <c r="B308" t="s">
        <v>566</v>
      </c>
      <c r="C308" t="s">
        <v>18</v>
      </c>
      <c r="D308" t="s">
        <v>61</v>
      </c>
      <c r="E308">
        <v>7</v>
      </c>
      <c r="F308">
        <v>25</v>
      </c>
      <c r="G308">
        <v>0</v>
      </c>
      <c r="H308">
        <v>175</v>
      </c>
      <c r="I308">
        <v>105</v>
      </c>
      <c r="J308" t="s">
        <v>44</v>
      </c>
      <c r="K308" t="s">
        <v>16</v>
      </c>
    </row>
    <row r="309" spans="1:11" x14ac:dyDescent="0.3">
      <c r="A309" t="s">
        <v>567</v>
      </c>
      <c r="B309" t="s">
        <v>566</v>
      </c>
      <c r="C309" t="s">
        <v>18</v>
      </c>
      <c r="D309" t="s">
        <v>61</v>
      </c>
      <c r="E309">
        <v>5</v>
      </c>
      <c r="F309">
        <v>25</v>
      </c>
      <c r="G309">
        <v>0</v>
      </c>
      <c r="H309">
        <v>125</v>
      </c>
      <c r="I309">
        <v>75</v>
      </c>
      <c r="J309" t="s">
        <v>15</v>
      </c>
      <c r="K309" t="s">
        <v>16</v>
      </c>
    </row>
    <row r="310" spans="1:11" x14ac:dyDescent="0.3">
      <c r="A310" t="s">
        <v>568</v>
      </c>
      <c r="B310" t="s">
        <v>569</v>
      </c>
      <c r="C310" t="s">
        <v>13</v>
      </c>
      <c r="D310" t="s">
        <v>51</v>
      </c>
      <c r="E310">
        <v>5</v>
      </c>
      <c r="F310">
        <v>250</v>
      </c>
      <c r="G310">
        <v>0.1</v>
      </c>
      <c r="H310">
        <v>1125</v>
      </c>
      <c r="I310">
        <v>775</v>
      </c>
      <c r="J310" t="s">
        <v>15</v>
      </c>
      <c r="K310" t="s">
        <v>29</v>
      </c>
    </row>
    <row r="311" spans="1:11" x14ac:dyDescent="0.3">
      <c r="A311" t="s">
        <v>570</v>
      </c>
      <c r="B311" t="s">
        <v>571</v>
      </c>
      <c r="C311" t="s">
        <v>18</v>
      </c>
      <c r="D311" t="s">
        <v>128</v>
      </c>
      <c r="E311">
        <v>2</v>
      </c>
      <c r="F311">
        <v>350</v>
      </c>
      <c r="G311">
        <v>0</v>
      </c>
      <c r="H311">
        <v>700</v>
      </c>
      <c r="I311">
        <v>520</v>
      </c>
      <c r="J311" t="s">
        <v>44</v>
      </c>
      <c r="K311" t="s">
        <v>16</v>
      </c>
    </row>
    <row r="312" spans="1:11" x14ac:dyDescent="0.3">
      <c r="A312" t="s">
        <v>572</v>
      </c>
      <c r="B312" t="s">
        <v>573</v>
      </c>
      <c r="C312" t="s">
        <v>13</v>
      </c>
      <c r="D312" t="s">
        <v>14</v>
      </c>
      <c r="E312">
        <v>1</v>
      </c>
      <c r="F312">
        <v>110</v>
      </c>
      <c r="G312">
        <v>0.2</v>
      </c>
      <c r="H312">
        <v>88</v>
      </c>
      <c r="I312">
        <v>58</v>
      </c>
      <c r="J312" t="s">
        <v>20</v>
      </c>
      <c r="K312" t="s">
        <v>16</v>
      </c>
    </row>
    <row r="313" spans="1:11" x14ac:dyDescent="0.3">
      <c r="A313" t="s">
        <v>574</v>
      </c>
      <c r="B313" t="s">
        <v>573</v>
      </c>
      <c r="C313" t="s">
        <v>23</v>
      </c>
      <c r="D313" t="s">
        <v>43</v>
      </c>
      <c r="E313">
        <v>1</v>
      </c>
      <c r="F313">
        <v>20</v>
      </c>
      <c r="G313">
        <v>0.1</v>
      </c>
      <c r="H313">
        <v>18</v>
      </c>
      <c r="I313">
        <v>11</v>
      </c>
      <c r="J313" t="s">
        <v>15</v>
      </c>
      <c r="K313" t="s">
        <v>32</v>
      </c>
    </row>
    <row r="314" spans="1:11" x14ac:dyDescent="0.3">
      <c r="A314" t="s">
        <v>575</v>
      </c>
      <c r="B314" t="s">
        <v>576</v>
      </c>
      <c r="C314" t="s">
        <v>13</v>
      </c>
      <c r="D314" t="s">
        <v>38</v>
      </c>
      <c r="E314">
        <v>7</v>
      </c>
      <c r="F314">
        <v>150</v>
      </c>
      <c r="G314">
        <v>0.05</v>
      </c>
      <c r="H314">
        <v>997.5</v>
      </c>
      <c r="I314">
        <v>717.5</v>
      </c>
      <c r="J314" t="s">
        <v>28</v>
      </c>
      <c r="K314" t="s">
        <v>29</v>
      </c>
    </row>
    <row r="315" spans="1:11" x14ac:dyDescent="0.3">
      <c r="A315" t="s">
        <v>577</v>
      </c>
      <c r="B315" t="s">
        <v>578</v>
      </c>
      <c r="C315" t="s">
        <v>13</v>
      </c>
      <c r="D315" t="s">
        <v>67</v>
      </c>
      <c r="E315">
        <v>7</v>
      </c>
      <c r="F315">
        <v>35</v>
      </c>
      <c r="G315">
        <v>0.05</v>
      </c>
      <c r="H315">
        <v>232.75</v>
      </c>
      <c r="I315">
        <v>148.75</v>
      </c>
      <c r="J315" t="s">
        <v>15</v>
      </c>
      <c r="K315" t="s">
        <v>29</v>
      </c>
    </row>
    <row r="316" spans="1:11" x14ac:dyDescent="0.3">
      <c r="A316" t="s">
        <v>579</v>
      </c>
      <c r="B316" t="s">
        <v>580</v>
      </c>
      <c r="C316" t="s">
        <v>13</v>
      </c>
      <c r="D316" t="s">
        <v>14</v>
      </c>
      <c r="E316">
        <v>8</v>
      </c>
      <c r="F316">
        <v>110</v>
      </c>
      <c r="G316">
        <v>0</v>
      </c>
      <c r="H316">
        <v>880</v>
      </c>
      <c r="I316">
        <v>640</v>
      </c>
      <c r="J316" t="s">
        <v>15</v>
      </c>
      <c r="K316" t="s">
        <v>29</v>
      </c>
    </row>
    <row r="317" spans="1:11" x14ac:dyDescent="0.3">
      <c r="A317" t="s">
        <v>581</v>
      </c>
      <c r="B317" t="s">
        <v>580</v>
      </c>
      <c r="C317" t="s">
        <v>18</v>
      </c>
      <c r="D317" t="s">
        <v>27</v>
      </c>
      <c r="E317">
        <v>8</v>
      </c>
      <c r="F317">
        <v>80</v>
      </c>
      <c r="G317">
        <v>0</v>
      </c>
      <c r="H317">
        <v>640</v>
      </c>
      <c r="I317">
        <v>400</v>
      </c>
      <c r="J317" t="s">
        <v>44</v>
      </c>
      <c r="K317" t="s">
        <v>16</v>
      </c>
    </row>
    <row r="318" spans="1:11" x14ac:dyDescent="0.3">
      <c r="A318" t="s">
        <v>582</v>
      </c>
      <c r="B318" t="s">
        <v>583</v>
      </c>
      <c r="C318" t="s">
        <v>13</v>
      </c>
      <c r="D318" t="s">
        <v>67</v>
      </c>
      <c r="E318">
        <v>4</v>
      </c>
      <c r="F318">
        <v>35</v>
      </c>
      <c r="G318">
        <v>0.1</v>
      </c>
      <c r="H318">
        <v>126</v>
      </c>
      <c r="I318">
        <v>78</v>
      </c>
      <c r="J318" t="s">
        <v>20</v>
      </c>
      <c r="K318" t="s">
        <v>16</v>
      </c>
    </row>
    <row r="319" spans="1:11" x14ac:dyDescent="0.3">
      <c r="A319" t="s">
        <v>584</v>
      </c>
      <c r="B319" t="s">
        <v>585</v>
      </c>
      <c r="C319" t="s">
        <v>18</v>
      </c>
      <c r="D319" t="s">
        <v>19</v>
      </c>
      <c r="E319">
        <v>5</v>
      </c>
      <c r="F319">
        <v>40</v>
      </c>
      <c r="G319">
        <v>0.05</v>
      </c>
      <c r="H319">
        <v>190</v>
      </c>
      <c r="I319">
        <v>115</v>
      </c>
      <c r="J319" t="s">
        <v>20</v>
      </c>
      <c r="K319" t="s">
        <v>16</v>
      </c>
    </row>
    <row r="320" spans="1:11" x14ac:dyDescent="0.3">
      <c r="A320" t="s">
        <v>586</v>
      </c>
      <c r="B320" t="s">
        <v>585</v>
      </c>
      <c r="C320" t="s">
        <v>18</v>
      </c>
      <c r="D320" t="s">
        <v>128</v>
      </c>
      <c r="E320">
        <v>1</v>
      </c>
      <c r="F320">
        <v>350</v>
      </c>
      <c r="G320">
        <v>0</v>
      </c>
      <c r="H320">
        <v>350</v>
      </c>
      <c r="I320">
        <v>260</v>
      </c>
      <c r="J320" t="s">
        <v>20</v>
      </c>
      <c r="K320" t="s">
        <v>29</v>
      </c>
    </row>
    <row r="321" spans="1:11" x14ac:dyDescent="0.3">
      <c r="A321" t="s">
        <v>587</v>
      </c>
      <c r="B321" t="s">
        <v>588</v>
      </c>
      <c r="C321" t="s">
        <v>13</v>
      </c>
      <c r="D321" t="s">
        <v>41</v>
      </c>
      <c r="E321">
        <v>3</v>
      </c>
      <c r="F321">
        <v>450</v>
      </c>
      <c r="G321">
        <v>0</v>
      </c>
      <c r="H321">
        <v>1350</v>
      </c>
      <c r="I321">
        <v>990</v>
      </c>
      <c r="J321" t="s">
        <v>20</v>
      </c>
      <c r="K321" t="s">
        <v>29</v>
      </c>
    </row>
    <row r="322" spans="1:11" x14ac:dyDescent="0.3">
      <c r="A322" t="s">
        <v>589</v>
      </c>
      <c r="B322" t="s">
        <v>590</v>
      </c>
      <c r="C322" t="s">
        <v>13</v>
      </c>
      <c r="D322" t="s">
        <v>41</v>
      </c>
      <c r="E322">
        <v>7</v>
      </c>
      <c r="F322">
        <v>450</v>
      </c>
      <c r="G322">
        <v>0</v>
      </c>
      <c r="H322">
        <v>3150</v>
      </c>
      <c r="I322">
        <v>2310</v>
      </c>
      <c r="J322" t="s">
        <v>28</v>
      </c>
      <c r="K322" t="s">
        <v>29</v>
      </c>
    </row>
    <row r="323" spans="1:11" x14ac:dyDescent="0.3">
      <c r="A323" t="s">
        <v>591</v>
      </c>
      <c r="B323" t="s">
        <v>592</v>
      </c>
      <c r="C323" t="s">
        <v>18</v>
      </c>
      <c r="D323" t="s">
        <v>61</v>
      </c>
      <c r="E323">
        <v>6</v>
      </c>
      <c r="F323">
        <v>25</v>
      </c>
      <c r="G323">
        <v>0</v>
      </c>
      <c r="H323">
        <v>150</v>
      </c>
      <c r="I323">
        <v>90</v>
      </c>
      <c r="J323" t="s">
        <v>28</v>
      </c>
      <c r="K323" t="s">
        <v>29</v>
      </c>
    </row>
    <row r="324" spans="1:11" x14ac:dyDescent="0.3">
      <c r="A324" t="s">
        <v>593</v>
      </c>
      <c r="B324" t="s">
        <v>592</v>
      </c>
      <c r="C324" t="s">
        <v>13</v>
      </c>
      <c r="D324" t="s">
        <v>41</v>
      </c>
      <c r="E324">
        <v>1</v>
      </c>
      <c r="F324">
        <v>450</v>
      </c>
      <c r="G324">
        <v>0.15</v>
      </c>
      <c r="H324">
        <v>382.5</v>
      </c>
      <c r="I324">
        <v>262.5</v>
      </c>
      <c r="J324" t="s">
        <v>15</v>
      </c>
      <c r="K324" t="s">
        <v>16</v>
      </c>
    </row>
    <row r="325" spans="1:11" x14ac:dyDescent="0.3">
      <c r="A325" t="s">
        <v>594</v>
      </c>
      <c r="B325" t="s">
        <v>595</v>
      </c>
      <c r="C325" t="s">
        <v>13</v>
      </c>
      <c r="D325" t="s">
        <v>67</v>
      </c>
      <c r="E325">
        <v>9</v>
      </c>
      <c r="F325">
        <v>35</v>
      </c>
      <c r="G325">
        <v>0</v>
      </c>
      <c r="H325">
        <v>315</v>
      </c>
      <c r="I325">
        <v>207</v>
      </c>
      <c r="J325" t="s">
        <v>15</v>
      </c>
      <c r="K325" t="s">
        <v>32</v>
      </c>
    </row>
    <row r="326" spans="1:11" x14ac:dyDescent="0.3">
      <c r="A326" t="s">
        <v>596</v>
      </c>
      <c r="B326" t="s">
        <v>597</v>
      </c>
      <c r="C326" t="s">
        <v>23</v>
      </c>
      <c r="D326" t="s">
        <v>58</v>
      </c>
      <c r="E326">
        <v>1</v>
      </c>
      <c r="F326">
        <v>8</v>
      </c>
      <c r="G326">
        <v>0.05</v>
      </c>
      <c r="H326">
        <v>7.6</v>
      </c>
      <c r="I326">
        <v>4.5999999999999996</v>
      </c>
      <c r="J326" t="s">
        <v>15</v>
      </c>
      <c r="K326" t="s">
        <v>32</v>
      </c>
    </row>
    <row r="327" spans="1:11" x14ac:dyDescent="0.3">
      <c r="A327" t="s">
        <v>598</v>
      </c>
      <c r="B327" t="s">
        <v>599</v>
      </c>
      <c r="C327" t="s">
        <v>23</v>
      </c>
      <c r="D327" t="s">
        <v>35</v>
      </c>
      <c r="E327">
        <v>9</v>
      </c>
      <c r="F327">
        <v>15</v>
      </c>
      <c r="G327">
        <v>0.05</v>
      </c>
      <c r="H327">
        <v>128.25</v>
      </c>
      <c r="I327">
        <v>83.25</v>
      </c>
      <c r="J327" t="s">
        <v>20</v>
      </c>
      <c r="K327" t="s">
        <v>16</v>
      </c>
    </row>
    <row r="328" spans="1:11" x14ac:dyDescent="0.3">
      <c r="A328" t="s">
        <v>600</v>
      </c>
      <c r="B328" t="s">
        <v>599</v>
      </c>
      <c r="C328" t="s">
        <v>23</v>
      </c>
      <c r="D328" t="s">
        <v>43</v>
      </c>
      <c r="E328">
        <v>6</v>
      </c>
      <c r="F328">
        <v>20</v>
      </c>
      <c r="G328">
        <v>0.1</v>
      </c>
      <c r="H328">
        <v>108</v>
      </c>
      <c r="I328">
        <v>66</v>
      </c>
      <c r="J328" t="s">
        <v>15</v>
      </c>
      <c r="K328" t="s">
        <v>29</v>
      </c>
    </row>
    <row r="329" spans="1:11" x14ac:dyDescent="0.3">
      <c r="A329" t="s">
        <v>601</v>
      </c>
      <c r="B329" t="s">
        <v>602</v>
      </c>
      <c r="C329" t="s">
        <v>23</v>
      </c>
      <c r="D329" t="s">
        <v>24</v>
      </c>
      <c r="E329">
        <v>5</v>
      </c>
      <c r="F329">
        <v>10</v>
      </c>
      <c r="G329">
        <v>0.1</v>
      </c>
      <c r="H329">
        <v>45</v>
      </c>
      <c r="I329">
        <v>25</v>
      </c>
      <c r="J329" t="s">
        <v>28</v>
      </c>
      <c r="K329" t="s">
        <v>16</v>
      </c>
    </row>
    <row r="330" spans="1:11" x14ac:dyDescent="0.3">
      <c r="A330" t="s">
        <v>603</v>
      </c>
      <c r="B330" t="s">
        <v>604</v>
      </c>
      <c r="C330" t="s">
        <v>13</v>
      </c>
      <c r="D330" t="s">
        <v>67</v>
      </c>
      <c r="E330">
        <v>6</v>
      </c>
      <c r="F330">
        <v>35</v>
      </c>
      <c r="G330">
        <v>0.05</v>
      </c>
      <c r="H330">
        <v>199.5</v>
      </c>
      <c r="I330">
        <v>127.5</v>
      </c>
      <c r="J330" t="s">
        <v>20</v>
      </c>
      <c r="K330" t="s">
        <v>29</v>
      </c>
    </row>
    <row r="331" spans="1:11" x14ac:dyDescent="0.3">
      <c r="A331" t="s">
        <v>605</v>
      </c>
      <c r="B331" t="s">
        <v>604</v>
      </c>
      <c r="C331" t="s">
        <v>18</v>
      </c>
      <c r="D331" t="s">
        <v>27</v>
      </c>
      <c r="E331">
        <v>7</v>
      </c>
      <c r="F331">
        <v>80</v>
      </c>
      <c r="G331">
        <v>0.05</v>
      </c>
      <c r="H331">
        <v>532</v>
      </c>
      <c r="I331">
        <v>322</v>
      </c>
      <c r="J331" t="s">
        <v>28</v>
      </c>
      <c r="K331" t="s">
        <v>29</v>
      </c>
    </row>
    <row r="332" spans="1:11" x14ac:dyDescent="0.3">
      <c r="A332" t="s">
        <v>606</v>
      </c>
      <c r="B332" t="s">
        <v>607</v>
      </c>
      <c r="C332" t="s">
        <v>23</v>
      </c>
      <c r="D332" t="s">
        <v>24</v>
      </c>
      <c r="E332">
        <v>8</v>
      </c>
      <c r="F332">
        <v>10</v>
      </c>
      <c r="G332">
        <v>0</v>
      </c>
      <c r="H332">
        <v>80</v>
      </c>
      <c r="I332">
        <v>48</v>
      </c>
      <c r="J332" t="s">
        <v>20</v>
      </c>
      <c r="K332" t="s">
        <v>32</v>
      </c>
    </row>
    <row r="333" spans="1:11" x14ac:dyDescent="0.3">
      <c r="A333" t="s">
        <v>608</v>
      </c>
      <c r="B333" t="s">
        <v>609</v>
      </c>
      <c r="C333" t="s">
        <v>18</v>
      </c>
      <c r="D333" t="s">
        <v>61</v>
      </c>
      <c r="E333">
        <v>2</v>
      </c>
      <c r="F333">
        <v>25</v>
      </c>
      <c r="G333">
        <v>0</v>
      </c>
      <c r="H333">
        <v>50</v>
      </c>
      <c r="I333">
        <v>30</v>
      </c>
      <c r="J333" t="s">
        <v>20</v>
      </c>
      <c r="K333" t="s">
        <v>29</v>
      </c>
    </row>
    <row r="334" spans="1:11" x14ac:dyDescent="0.3">
      <c r="A334" t="s">
        <v>610</v>
      </c>
      <c r="B334" t="s">
        <v>611</v>
      </c>
      <c r="C334" t="s">
        <v>13</v>
      </c>
      <c r="D334" t="s">
        <v>38</v>
      </c>
      <c r="E334">
        <v>2</v>
      </c>
      <c r="F334">
        <v>150</v>
      </c>
      <c r="G334">
        <v>0</v>
      </c>
      <c r="H334">
        <v>300</v>
      </c>
      <c r="I334">
        <v>220</v>
      </c>
      <c r="J334" t="s">
        <v>20</v>
      </c>
      <c r="K334" t="s">
        <v>29</v>
      </c>
    </row>
    <row r="335" spans="1:11" x14ac:dyDescent="0.3">
      <c r="A335" t="s">
        <v>612</v>
      </c>
      <c r="B335" t="s">
        <v>611</v>
      </c>
      <c r="C335" t="s">
        <v>18</v>
      </c>
      <c r="D335" t="s">
        <v>61</v>
      </c>
      <c r="E335">
        <v>6</v>
      </c>
      <c r="F335">
        <v>25</v>
      </c>
      <c r="G335">
        <v>0.1</v>
      </c>
      <c r="H335">
        <v>135</v>
      </c>
      <c r="I335">
        <v>75</v>
      </c>
      <c r="J335" t="s">
        <v>15</v>
      </c>
      <c r="K335" t="s">
        <v>29</v>
      </c>
    </row>
    <row r="336" spans="1:11" x14ac:dyDescent="0.3">
      <c r="A336" t="s">
        <v>613</v>
      </c>
      <c r="B336" t="s">
        <v>614</v>
      </c>
      <c r="C336" t="s">
        <v>23</v>
      </c>
      <c r="D336" t="s">
        <v>43</v>
      </c>
      <c r="E336">
        <v>3</v>
      </c>
      <c r="F336">
        <v>20</v>
      </c>
      <c r="G336">
        <v>0.1</v>
      </c>
      <c r="H336">
        <v>54</v>
      </c>
      <c r="I336">
        <v>33</v>
      </c>
      <c r="J336" t="s">
        <v>44</v>
      </c>
      <c r="K336" t="s">
        <v>29</v>
      </c>
    </row>
    <row r="337" spans="1:11" x14ac:dyDescent="0.3">
      <c r="A337" t="s">
        <v>615</v>
      </c>
      <c r="B337" t="s">
        <v>616</v>
      </c>
      <c r="C337" t="s">
        <v>18</v>
      </c>
      <c r="D337" t="s">
        <v>19</v>
      </c>
      <c r="E337">
        <v>4</v>
      </c>
      <c r="F337">
        <v>40</v>
      </c>
      <c r="G337">
        <v>0.1</v>
      </c>
      <c r="H337">
        <v>144</v>
      </c>
      <c r="I337">
        <v>84</v>
      </c>
      <c r="J337" t="s">
        <v>28</v>
      </c>
      <c r="K337" t="s">
        <v>29</v>
      </c>
    </row>
    <row r="338" spans="1:11" x14ac:dyDescent="0.3">
      <c r="A338" t="s">
        <v>617</v>
      </c>
      <c r="B338" t="s">
        <v>618</v>
      </c>
      <c r="C338" t="s">
        <v>13</v>
      </c>
      <c r="D338" t="s">
        <v>14</v>
      </c>
      <c r="E338">
        <v>6</v>
      </c>
      <c r="F338">
        <v>110</v>
      </c>
      <c r="G338">
        <v>0.05</v>
      </c>
      <c r="H338">
        <v>627</v>
      </c>
      <c r="I338">
        <v>447</v>
      </c>
      <c r="J338" t="s">
        <v>15</v>
      </c>
      <c r="K338" t="s">
        <v>29</v>
      </c>
    </row>
    <row r="339" spans="1:11" x14ac:dyDescent="0.3">
      <c r="A339" t="s">
        <v>619</v>
      </c>
      <c r="B339" t="s">
        <v>618</v>
      </c>
      <c r="C339" t="s">
        <v>13</v>
      </c>
      <c r="D339" t="s">
        <v>51</v>
      </c>
      <c r="E339">
        <v>4</v>
      </c>
      <c r="F339">
        <v>250</v>
      </c>
      <c r="G339">
        <v>0</v>
      </c>
      <c r="H339">
        <v>1000</v>
      </c>
      <c r="I339">
        <v>720</v>
      </c>
      <c r="J339" t="s">
        <v>28</v>
      </c>
      <c r="K339" t="s">
        <v>29</v>
      </c>
    </row>
    <row r="340" spans="1:11" x14ac:dyDescent="0.3">
      <c r="A340" t="s">
        <v>620</v>
      </c>
      <c r="B340" t="s">
        <v>621</v>
      </c>
      <c r="C340" t="s">
        <v>23</v>
      </c>
      <c r="D340" t="s">
        <v>31</v>
      </c>
      <c r="E340">
        <v>7</v>
      </c>
      <c r="F340">
        <v>25</v>
      </c>
      <c r="G340">
        <v>0.1</v>
      </c>
      <c r="H340">
        <v>157.5</v>
      </c>
      <c r="I340">
        <v>101.5</v>
      </c>
      <c r="J340" t="s">
        <v>15</v>
      </c>
      <c r="K340" t="s">
        <v>29</v>
      </c>
    </row>
    <row r="341" spans="1:11" x14ac:dyDescent="0.3">
      <c r="A341" t="s">
        <v>622</v>
      </c>
      <c r="B341" t="s">
        <v>623</v>
      </c>
      <c r="C341" t="s">
        <v>13</v>
      </c>
      <c r="D341" t="s">
        <v>38</v>
      </c>
      <c r="E341">
        <v>3</v>
      </c>
      <c r="F341">
        <v>150</v>
      </c>
      <c r="G341">
        <v>0</v>
      </c>
      <c r="H341">
        <v>450</v>
      </c>
      <c r="I341">
        <v>330</v>
      </c>
      <c r="J341" t="s">
        <v>15</v>
      </c>
      <c r="K341" t="s">
        <v>16</v>
      </c>
    </row>
    <row r="342" spans="1:11" x14ac:dyDescent="0.3">
      <c r="A342" t="s">
        <v>624</v>
      </c>
      <c r="B342" t="s">
        <v>625</v>
      </c>
      <c r="C342" t="s">
        <v>18</v>
      </c>
      <c r="D342" t="s">
        <v>61</v>
      </c>
      <c r="E342">
        <v>6</v>
      </c>
      <c r="F342">
        <v>25</v>
      </c>
      <c r="G342">
        <v>0</v>
      </c>
      <c r="H342">
        <v>150</v>
      </c>
      <c r="I342">
        <v>90</v>
      </c>
      <c r="J342" t="s">
        <v>28</v>
      </c>
      <c r="K342" t="s">
        <v>29</v>
      </c>
    </row>
    <row r="343" spans="1:11" x14ac:dyDescent="0.3">
      <c r="A343" t="s">
        <v>626</v>
      </c>
      <c r="B343" t="s">
        <v>625</v>
      </c>
      <c r="C343" t="s">
        <v>13</v>
      </c>
      <c r="D343" t="s">
        <v>51</v>
      </c>
      <c r="E343">
        <v>7</v>
      </c>
      <c r="F343">
        <v>250</v>
      </c>
      <c r="G343">
        <v>0</v>
      </c>
      <c r="H343">
        <v>1750</v>
      </c>
      <c r="I343">
        <v>1260</v>
      </c>
      <c r="J343" t="s">
        <v>44</v>
      </c>
      <c r="K343" t="s">
        <v>16</v>
      </c>
    </row>
    <row r="344" spans="1:11" x14ac:dyDescent="0.3">
      <c r="A344" t="s">
        <v>627</v>
      </c>
      <c r="B344" t="s">
        <v>628</v>
      </c>
      <c r="C344" t="s">
        <v>23</v>
      </c>
      <c r="D344" t="s">
        <v>58</v>
      </c>
      <c r="E344">
        <v>9</v>
      </c>
      <c r="F344">
        <v>8</v>
      </c>
      <c r="G344">
        <v>0.15</v>
      </c>
      <c r="H344">
        <v>61.2</v>
      </c>
      <c r="I344">
        <v>34.200000000000003</v>
      </c>
      <c r="J344" t="s">
        <v>20</v>
      </c>
      <c r="K344" t="s">
        <v>29</v>
      </c>
    </row>
    <row r="345" spans="1:11" x14ac:dyDescent="0.3">
      <c r="A345" t="s">
        <v>629</v>
      </c>
      <c r="B345" t="s">
        <v>630</v>
      </c>
      <c r="C345" t="s">
        <v>13</v>
      </c>
      <c r="D345" t="s">
        <v>38</v>
      </c>
      <c r="E345">
        <v>6</v>
      </c>
      <c r="F345">
        <v>150</v>
      </c>
      <c r="G345">
        <v>0.2</v>
      </c>
      <c r="H345">
        <v>720</v>
      </c>
      <c r="I345">
        <v>480</v>
      </c>
      <c r="J345" t="s">
        <v>20</v>
      </c>
      <c r="K345" t="s">
        <v>29</v>
      </c>
    </row>
    <row r="346" spans="1:11" x14ac:dyDescent="0.3">
      <c r="A346" t="s">
        <v>631</v>
      </c>
      <c r="B346" t="s">
        <v>630</v>
      </c>
      <c r="C346" t="s">
        <v>23</v>
      </c>
      <c r="D346" t="s">
        <v>31</v>
      </c>
      <c r="E346">
        <v>9</v>
      </c>
      <c r="F346">
        <v>25</v>
      </c>
      <c r="G346">
        <v>0.05</v>
      </c>
      <c r="H346">
        <v>213.75</v>
      </c>
      <c r="I346">
        <v>141.75</v>
      </c>
      <c r="J346" t="s">
        <v>28</v>
      </c>
      <c r="K346" t="s">
        <v>16</v>
      </c>
    </row>
    <row r="347" spans="1:11" x14ac:dyDescent="0.3">
      <c r="A347" t="s">
        <v>632</v>
      </c>
      <c r="B347" t="s">
        <v>633</v>
      </c>
      <c r="C347" t="s">
        <v>23</v>
      </c>
      <c r="D347" t="s">
        <v>31</v>
      </c>
      <c r="E347">
        <v>6</v>
      </c>
      <c r="F347">
        <v>25</v>
      </c>
      <c r="G347">
        <v>0.05</v>
      </c>
      <c r="H347">
        <v>142.5</v>
      </c>
      <c r="I347">
        <v>94.5</v>
      </c>
      <c r="J347" t="s">
        <v>15</v>
      </c>
      <c r="K347" t="s">
        <v>32</v>
      </c>
    </row>
    <row r="348" spans="1:11" x14ac:dyDescent="0.3">
      <c r="A348" t="s">
        <v>634</v>
      </c>
      <c r="B348" t="s">
        <v>635</v>
      </c>
      <c r="C348" t="s">
        <v>18</v>
      </c>
      <c r="D348" t="s">
        <v>61</v>
      </c>
      <c r="E348">
        <v>3</v>
      </c>
      <c r="F348">
        <v>25</v>
      </c>
      <c r="G348">
        <v>0</v>
      </c>
      <c r="H348">
        <v>75</v>
      </c>
      <c r="I348">
        <v>45</v>
      </c>
      <c r="J348" t="s">
        <v>44</v>
      </c>
      <c r="K348" t="s">
        <v>29</v>
      </c>
    </row>
    <row r="349" spans="1:11" x14ac:dyDescent="0.3">
      <c r="A349" t="s">
        <v>636</v>
      </c>
      <c r="B349" t="s">
        <v>637</v>
      </c>
      <c r="C349" t="s">
        <v>13</v>
      </c>
      <c r="D349" t="s">
        <v>14</v>
      </c>
      <c r="E349">
        <v>4</v>
      </c>
      <c r="F349">
        <v>110</v>
      </c>
      <c r="G349">
        <v>0</v>
      </c>
      <c r="H349">
        <v>440</v>
      </c>
      <c r="I349">
        <v>320</v>
      </c>
      <c r="J349" t="s">
        <v>15</v>
      </c>
      <c r="K349" t="s">
        <v>29</v>
      </c>
    </row>
    <row r="350" spans="1:11" x14ac:dyDescent="0.3">
      <c r="A350" t="s">
        <v>638</v>
      </c>
      <c r="B350" t="s">
        <v>637</v>
      </c>
      <c r="C350" t="s">
        <v>13</v>
      </c>
      <c r="D350" t="s">
        <v>51</v>
      </c>
      <c r="E350">
        <v>8</v>
      </c>
      <c r="F350">
        <v>250</v>
      </c>
      <c r="G350">
        <v>0.1</v>
      </c>
      <c r="H350">
        <v>1800</v>
      </c>
      <c r="I350">
        <v>1240</v>
      </c>
      <c r="J350" t="s">
        <v>20</v>
      </c>
      <c r="K350" t="s">
        <v>16</v>
      </c>
    </row>
    <row r="351" spans="1:11" x14ac:dyDescent="0.3">
      <c r="A351" t="s">
        <v>639</v>
      </c>
      <c r="B351" t="s">
        <v>640</v>
      </c>
      <c r="C351" t="s">
        <v>13</v>
      </c>
      <c r="D351" t="s">
        <v>67</v>
      </c>
      <c r="E351">
        <v>9</v>
      </c>
      <c r="F351">
        <v>35</v>
      </c>
      <c r="G351">
        <v>0.1</v>
      </c>
      <c r="H351">
        <v>283.5</v>
      </c>
      <c r="I351">
        <v>175.5</v>
      </c>
      <c r="J351" t="s">
        <v>20</v>
      </c>
      <c r="K351" t="s">
        <v>32</v>
      </c>
    </row>
    <row r="352" spans="1:11" x14ac:dyDescent="0.3">
      <c r="A352" t="s">
        <v>641</v>
      </c>
      <c r="B352" t="s">
        <v>642</v>
      </c>
      <c r="C352" t="s">
        <v>18</v>
      </c>
      <c r="D352" t="s">
        <v>128</v>
      </c>
      <c r="E352">
        <v>6</v>
      </c>
      <c r="F352">
        <v>350</v>
      </c>
      <c r="G352">
        <v>0</v>
      </c>
      <c r="H352">
        <v>2100</v>
      </c>
      <c r="I352">
        <v>1560</v>
      </c>
      <c r="J352" t="s">
        <v>15</v>
      </c>
      <c r="K352" t="s">
        <v>32</v>
      </c>
    </row>
    <row r="353" spans="1:11" x14ac:dyDescent="0.3">
      <c r="A353" t="s">
        <v>643</v>
      </c>
      <c r="B353" t="s">
        <v>644</v>
      </c>
      <c r="C353" t="s">
        <v>18</v>
      </c>
      <c r="D353" t="s">
        <v>61</v>
      </c>
      <c r="E353">
        <v>9</v>
      </c>
      <c r="F353">
        <v>25</v>
      </c>
      <c r="G353">
        <v>0.1</v>
      </c>
      <c r="H353">
        <v>202.5</v>
      </c>
      <c r="I353">
        <v>112.5</v>
      </c>
      <c r="J353" t="s">
        <v>15</v>
      </c>
      <c r="K353" t="s">
        <v>29</v>
      </c>
    </row>
    <row r="354" spans="1:11" x14ac:dyDescent="0.3">
      <c r="A354" t="s">
        <v>645</v>
      </c>
      <c r="B354" t="s">
        <v>644</v>
      </c>
      <c r="C354" t="s">
        <v>18</v>
      </c>
      <c r="D354" t="s">
        <v>128</v>
      </c>
      <c r="E354">
        <v>2</v>
      </c>
      <c r="F354">
        <v>350</v>
      </c>
      <c r="G354">
        <v>0.15</v>
      </c>
      <c r="H354">
        <v>595</v>
      </c>
      <c r="I354">
        <v>415</v>
      </c>
      <c r="J354" t="s">
        <v>15</v>
      </c>
      <c r="K354" t="s">
        <v>29</v>
      </c>
    </row>
    <row r="355" spans="1:11" x14ac:dyDescent="0.3">
      <c r="A355" t="s">
        <v>646</v>
      </c>
      <c r="B355" t="s">
        <v>647</v>
      </c>
      <c r="C355" t="s">
        <v>13</v>
      </c>
      <c r="D355" t="s">
        <v>41</v>
      </c>
      <c r="E355">
        <v>8</v>
      </c>
      <c r="F355">
        <v>450</v>
      </c>
      <c r="G355">
        <v>0.05</v>
      </c>
      <c r="H355">
        <v>3420</v>
      </c>
      <c r="I355">
        <v>2460</v>
      </c>
      <c r="J355" t="s">
        <v>15</v>
      </c>
      <c r="K355" t="s">
        <v>32</v>
      </c>
    </row>
    <row r="356" spans="1:11" x14ac:dyDescent="0.3">
      <c r="A356" t="s">
        <v>648</v>
      </c>
      <c r="B356" t="s">
        <v>649</v>
      </c>
      <c r="C356" t="s">
        <v>13</v>
      </c>
      <c r="D356" t="s">
        <v>41</v>
      </c>
      <c r="E356">
        <v>8</v>
      </c>
      <c r="F356">
        <v>450</v>
      </c>
      <c r="G356">
        <v>0</v>
      </c>
      <c r="H356">
        <v>3600</v>
      </c>
      <c r="I356">
        <v>2640</v>
      </c>
      <c r="J356" t="s">
        <v>20</v>
      </c>
      <c r="K356" t="s">
        <v>32</v>
      </c>
    </row>
    <row r="357" spans="1:11" x14ac:dyDescent="0.3">
      <c r="A357" t="s">
        <v>650</v>
      </c>
      <c r="B357" t="s">
        <v>649</v>
      </c>
      <c r="C357" t="s">
        <v>18</v>
      </c>
      <c r="D357" t="s">
        <v>27</v>
      </c>
      <c r="E357">
        <v>7</v>
      </c>
      <c r="F357">
        <v>80</v>
      </c>
      <c r="G357">
        <v>0</v>
      </c>
      <c r="H357">
        <v>560</v>
      </c>
      <c r="I357">
        <v>350</v>
      </c>
      <c r="J357" t="s">
        <v>20</v>
      </c>
      <c r="K357" t="s">
        <v>29</v>
      </c>
    </row>
    <row r="358" spans="1:11" x14ac:dyDescent="0.3">
      <c r="A358" t="s">
        <v>651</v>
      </c>
      <c r="B358" t="s">
        <v>652</v>
      </c>
      <c r="C358" t="s">
        <v>23</v>
      </c>
      <c r="D358" t="s">
        <v>43</v>
      </c>
      <c r="E358">
        <v>9</v>
      </c>
      <c r="F358">
        <v>20</v>
      </c>
      <c r="G358">
        <v>0</v>
      </c>
      <c r="H358">
        <v>180</v>
      </c>
      <c r="I358">
        <v>117</v>
      </c>
      <c r="J358" t="s">
        <v>15</v>
      </c>
      <c r="K358" t="s">
        <v>29</v>
      </c>
    </row>
    <row r="359" spans="1:11" x14ac:dyDescent="0.3">
      <c r="A359" t="s">
        <v>653</v>
      </c>
      <c r="B359" t="s">
        <v>654</v>
      </c>
      <c r="C359" t="s">
        <v>13</v>
      </c>
      <c r="D359" t="s">
        <v>51</v>
      </c>
      <c r="E359">
        <v>7</v>
      </c>
      <c r="F359">
        <v>250</v>
      </c>
      <c r="G359">
        <v>0.05</v>
      </c>
      <c r="H359">
        <v>1662.5</v>
      </c>
      <c r="I359">
        <v>1172.5</v>
      </c>
      <c r="J359" t="s">
        <v>44</v>
      </c>
      <c r="K359" t="s">
        <v>32</v>
      </c>
    </row>
    <row r="360" spans="1:11" x14ac:dyDescent="0.3">
      <c r="A360" t="s">
        <v>655</v>
      </c>
      <c r="B360" t="s">
        <v>656</v>
      </c>
      <c r="C360" t="s">
        <v>18</v>
      </c>
      <c r="D360" t="s">
        <v>128</v>
      </c>
      <c r="E360">
        <v>9</v>
      </c>
      <c r="F360">
        <v>350</v>
      </c>
      <c r="G360">
        <v>0.1</v>
      </c>
      <c r="H360">
        <v>2835</v>
      </c>
      <c r="I360">
        <v>2025</v>
      </c>
      <c r="J360" t="s">
        <v>44</v>
      </c>
      <c r="K360" t="s">
        <v>29</v>
      </c>
    </row>
    <row r="361" spans="1:11" x14ac:dyDescent="0.3">
      <c r="A361" t="s">
        <v>657</v>
      </c>
      <c r="B361" t="s">
        <v>656</v>
      </c>
      <c r="C361" t="s">
        <v>18</v>
      </c>
      <c r="D361" t="s">
        <v>61</v>
      </c>
      <c r="E361">
        <v>1</v>
      </c>
      <c r="F361">
        <v>25</v>
      </c>
      <c r="G361">
        <v>0</v>
      </c>
      <c r="H361">
        <v>25</v>
      </c>
      <c r="I361">
        <v>15</v>
      </c>
      <c r="J361" t="s">
        <v>15</v>
      </c>
      <c r="K361" t="s">
        <v>29</v>
      </c>
    </row>
    <row r="362" spans="1:11" x14ac:dyDescent="0.3">
      <c r="A362" t="s">
        <v>658</v>
      </c>
      <c r="B362" t="s">
        <v>659</v>
      </c>
      <c r="C362" t="s">
        <v>18</v>
      </c>
      <c r="D362" t="s">
        <v>61</v>
      </c>
      <c r="E362">
        <v>2</v>
      </c>
      <c r="F362">
        <v>25</v>
      </c>
      <c r="G362">
        <v>0.15</v>
      </c>
      <c r="H362">
        <v>42.5</v>
      </c>
      <c r="I362">
        <v>22.5</v>
      </c>
      <c r="J362" t="s">
        <v>44</v>
      </c>
      <c r="K362" t="s">
        <v>29</v>
      </c>
    </row>
    <row r="363" spans="1:11" x14ac:dyDescent="0.3">
      <c r="A363" t="s">
        <v>660</v>
      </c>
      <c r="B363" t="s">
        <v>661</v>
      </c>
      <c r="C363" t="s">
        <v>18</v>
      </c>
      <c r="D363" t="s">
        <v>128</v>
      </c>
      <c r="E363">
        <v>3</v>
      </c>
      <c r="F363">
        <v>350</v>
      </c>
      <c r="G363">
        <v>0</v>
      </c>
      <c r="H363">
        <v>1050</v>
      </c>
      <c r="I363">
        <v>780</v>
      </c>
      <c r="J363" t="s">
        <v>20</v>
      </c>
      <c r="K363" t="s">
        <v>16</v>
      </c>
    </row>
    <row r="364" spans="1:11" x14ac:dyDescent="0.3">
      <c r="A364" t="s">
        <v>662</v>
      </c>
      <c r="B364" t="s">
        <v>663</v>
      </c>
      <c r="C364" t="s">
        <v>18</v>
      </c>
      <c r="D364" t="s">
        <v>128</v>
      </c>
      <c r="E364">
        <v>4</v>
      </c>
      <c r="F364">
        <v>350</v>
      </c>
      <c r="G364">
        <v>0.1</v>
      </c>
      <c r="H364">
        <v>1260</v>
      </c>
      <c r="I364">
        <v>900</v>
      </c>
      <c r="J364" t="s">
        <v>44</v>
      </c>
      <c r="K364" t="s">
        <v>16</v>
      </c>
    </row>
    <row r="365" spans="1:11" x14ac:dyDescent="0.3">
      <c r="A365" t="s">
        <v>664</v>
      </c>
      <c r="B365" t="s">
        <v>663</v>
      </c>
      <c r="C365" t="s">
        <v>23</v>
      </c>
      <c r="D365" t="s">
        <v>43</v>
      </c>
      <c r="E365">
        <v>9</v>
      </c>
      <c r="F365">
        <v>20</v>
      </c>
      <c r="G365">
        <v>0.05</v>
      </c>
      <c r="H365">
        <v>171</v>
      </c>
      <c r="I365">
        <v>108</v>
      </c>
      <c r="J365" t="s">
        <v>20</v>
      </c>
      <c r="K365" t="s">
        <v>29</v>
      </c>
    </row>
    <row r="366" spans="1:11" x14ac:dyDescent="0.3">
      <c r="A366" t="s">
        <v>665</v>
      </c>
      <c r="B366" t="s">
        <v>666</v>
      </c>
      <c r="C366" t="s">
        <v>13</v>
      </c>
      <c r="D366" t="s">
        <v>38</v>
      </c>
      <c r="E366">
        <v>8</v>
      </c>
      <c r="F366">
        <v>150</v>
      </c>
      <c r="G366">
        <v>0</v>
      </c>
      <c r="H366">
        <v>1200</v>
      </c>
      <c r="I366">
        <v>880</v>
      </c>
      <c r="J366" t="s">
        <v>44</v>
      </c>
      <c r="K366" t="s">
        <v>29</v>
      </c>
    </row>
    <row r="367" spans="1:11" x14ac:dyDescent="0.3">
      <c r="A367" t="s">
        <v>667</v>
      </c>
      <c r="B367" t="s">
        <v>668</v>
      </c>
      <c r="C367" t="s">
        <v>13</v>
      </c>
      <c r="D367" t="s">
        <v>51</v>
      </c>
      <c r="E367">
        <v>2</v>
      </c>
      <c r="F367">
        <v>250</v>
      </c>
      <c r="G367">
        <v>0</v>
      </c>
      <c r="H367">
        <v>500</v>
      </c>
      <c r="I367">
        <v>360</v>
      </c>
      <c r="J367" t="s">
        <v>44</v>
      </c>
      <c r="K367" t="s">
        <v>16</v>
      </c>
    </row>
    <row r="368" spans="1:11" x14ac:dyDescent="0.3">
      <c r="A368" t="s">
        <v>669</v>
      </c>
      <c r="B368" t="s">
        <v>668</v>
      </c>
      <c r="C368" t="s">
        <v>18</v>
      </c>
      <c r="D368" t="s">
        <v>128</v>
      </c>
      <c r="E368">
        <v>9</v>
      </c>
      <c r="F368">
        <v>350</v>
      </c>
      <c r="G368">
        <v>0.05</v>
      </c>
      <c r="H368">
        <v>2992.5</v>
      </c>
      <c r="I368">
        <v>2182.5</v>
      </c>
      <c r="J368" t="s">
        <v>20</v>
      </c>
      <c r="K368" t="s">
        <v>29</v>
      </c>
    </row>
    <row r="369" spans="1:11" x14ac:dyDescent="0.3">
      <c r="A369" t="s">
        <v>670</v>
      </c>
      <c r="B369" t="s">
        <v>671</v>
      </c>
      <c r="C369" t="s">
        <v>13</v>
      </c>
      <c r="D369" t="s">
        <v>41</v>
      </c>
      <c r="E369">
        <v>4</v>
      </c>
      <c r="F369">
        <v>450</v>
      </c>
      <c r="G369">
        <v>0.05</v>
      </c>
      <c r="H369">
        <v>1710</v>
      </c>
      <c r="I369">
        <v>1230</v>
      </c>
      <c r="J369" t="s">
        <v>15</v>
      </c>
      <c r="K369" t="s">
        <v>29</v>
      </c>
    </row>
    <row r="370" spans="1:11" x14ac:dyDescent="0.3">
      <c r="A370" t="s">
        <v>672</v>
      </c>
      <c r="B370" t="s">
        <v>673</v>
      </c>
      <c r="C370" t="s">
        <v>13</v>
      </c>
      <c r="D370" t="s">
        <v>38</v>
      </c>
      <c r="E370">
        <v>2</v>
      </c>
      <c r="F370">
        <v>150</v>
      </c>
      <c r="G370">
        <v>0</v>
      </c>
      <c r="H370">
        <v>300</v>
      </c>
      <c r="I370">
        <v>220</v>
      </c>
      <c r="J370" t="s">
        <v>44</v>
      </c>
      <c r="K370" t="s">
        <v>29</v>
      </c>
    </row>
    <row r="371" spans="1:11" x14ac:dyDescent="0.3">
      <c r="A371" t="s">
        <v>674</v>
      </c>
      <c r="B371" t="s">
        <v>675</v>
      </c>
      <c r="C371" t="s">
        <v>18</v>
      </c>
      <c r="D371" t="s">
        <v>19</v>
      </c>
      <c r="E371">
        <v>5</v>
      </c>
      <c r="F371">
        <v>40</v>
      </c>
      <c r="G371">
        <v>0</v>
      </c>
      <c r="H371">
        <v>200</v>
      </c>
      <c r="I371">
        <v>125</v>
      </c>
      <c r="J371" t="s">
        <v>20</v>
      </c>
      <c r="K371" t="s">
        <v>16</v>
      </c>
    </row>
    <row r="372" spans="1:11" x14ac:dyDescent="0.3">
      <c r="A372" t="s">
        <v>676</v>
      </c>
      <c r="B372" t="s">
        <v>675</v>
      </c>
      <c r="C372" t="s">
        <v>23</v>
      </c>
      <c r="D372" t="s">
        <v>43</v>
      </c>
      <c r="E372">
        <v>7</v>
      </c>
      <c r="F372">
        <v>20</v>
      </c>
      <c r="G372">
        <v>0.2</v>
      </c>
      <c r="H372">
        <v>112</v>
      </c>
      <c r="I372">
        <v>63</v>
      </c>
      <c r="J372" t="s">
        <v>44</v>
      </c>
      <c r="K372" t="s">
        <v>32</v>
      </c>
    </row>
    <row r="373" spans="1:11" x14ac:dyDescent="0.3">
      <c r="A373" t="s">
        <v>677</v>
      </c>
      <c r="B373" t="s">
        <v>678</v>
      </c>
      <c r="C373" t="s">
        <v>23</v>
      </c>
      <c r="D373" t="s">
        <v>31</v>
      </c>
      <c r="E373">
        <v>2</v>
      </c>
      <c r="F373">
        <v>25</v>
      </c>
      <c r="G373">
        <v>0</v>
      </c>
      <c r="H373">
        <v>50</v>
      </c>
      <c r="I373">
        <v>34</v>
      </c>
      <c r="J373" t="s">
        <v>28</v>
      </c>
      <c r="K373" t="s">
        <v>29</v>
      </c>
    </row>
    <row r="374" spans="1:11" x14ac:dyDescent="0.3">
      <c r="A374" t="s">
        <v>679</v>
      </c>
      <c r="B374" t="s">
        <v>680</v>
      </c>
      <c r="C374" t="s">
        <v>18</v>
      </c>
      <c r="D374" t="s">
        <v>27</v>
      </c>
      <c r="E374">
        <v>5</v>
      </c>
      <c r="F374">
        <v>80</v>
      </c>
      <c r="G374">
        <v>0.05</v>
      </c>
      <c r="H374">
        <v>380</v>
      </c>
      <c r="I374">
        <v>230</v>
      </c>
      <c r="J374" t="s">
        <v>44</v>
      </c>
      <c r="K374" t="s">
        <v>29</v>
      </c>
    </row>
    <row r="375" spans="1:11" x14ac:dyDescent="0.3">
      <c r="A375" t="s">
        <v>681</v>
      </c>
      <c r="B375" t="s">
        <v>682</v>
      </c>
      <c r="C375" t="s">
        <v>23</v>
      </c>
      <c r="D375" t="s">
        <v>31</v>
      </c>
      <c r="E375">
        <v>3</v>
      </c>
      <c r="F375">
        <v>25</v>
      </c>
      <c r="G375">
        <v>0</v>
      </c>
      <c r="H375">
        <v>75</v>
      </c>
      <c r="I375">
        <v>51</v>
      </c>
      <c r="J375" t="s">
        <v>28</v>
      </c>
      <c r="K375" t="s">
        <v>32</v>
      </c>
    </row>
    <row r="376" spans="1:11" x14ac:dyDescent="0.3">
      <c r="A376" t="s">
        <v>683</v>
      </c>
      <c r="B376" t="s">
        <v>682</v>
      </c>
      <c r="C376" t="s">
        <v>13</v>
      </c>
      <c r="D376" t="s">
        <v>38</v>
      </c>
      <c r="E376">
        <v>9</v>
      </c>
      <c r="F376">
        <v>150</v>
      </c>
      <c r="G376">
        <v>0</v>
      </c>
      <c r="H376">
        <v>1350</v>
      </c>
      <c r="I376">
        <v>990</v>
      </c>
      <c r="J376" t="s">
        <v>28</v>
      </c>
      <c r="K376" t="s">
        <v>29</v>
      </c>
    </row>
    <row r="377" spans="1:11" x14ac:dyDescent="0.3">
      <c r="A377" t="s">
        <v>684</v>
      </c>
      <c r="B377" t="s">
        <v>685</v>
      </c>
      <c r="C377" t="s">
        <v>13</v>
      </c>
      <c r="D377" t="s">
        <v>41</v>
      </c>
      <c r="E377">
        <v>6</v>
      </c>
      <c r="F377">
        <v>450</v>
      </c>
      <c r="G377">
        <v>0.1</v>
      </c>
      <c r="H377">
        <v>2430</v>
      </c>
      <c r="I377">
        <v>1710</v>
      </c>
      <c r="J377" t="s">
        <v>44</v>
      </c>
      <c r="K377" t="s">
        <v>16</v>
      </c>
    </row>
    <row r="378" spans="1:11" x14ac:dyDescent="0.3">
      <c r="A378" t="s">
        <v>686</v>
      </c>
      <c r="B378" t="s">
        <v>687</v>
      </c>
      <c r="C378" t="s">
        <v>23</v>
      </c>
      <c r="D378" t="s">
        <v>24</v>
      </c>
      <c r="E378">
        <v>1</v>
      </c>
      <c r="F378">
        <v>10</v>
      </c>
      <c r="G378">
        <v>0</v>
      </c>
      <c r="H378">
        <v>10</v>
      </c>
      <c r="I378">
        <v>6</v>
      </c>
      <c r="J378" t="s">
        <v>15</v>
      </c>
      <c r="K378" t="s">
        <v>16</v>
      </c>
    </row>
    <row r="379" spans="1:11" x14ac:dyDescent="0.3">
      <c r="A379" t="s">
        <v>688</v>
      </c>
      <c r="B379" t="s">
        <v>689</v>
      </c>
      <c r="C379" t="s">
        <v>13</v>
      </c>
      <c r="D379" t="s">
        <v>41</v>
      </c>
      <c r="E379">
        <v>9</v>
      </c>
      <c r="F379">
        <v>450</v>
      </c>
      <c r="G379">
        <v>0</v>
      </c>
      <c r="H379">
        <v>4050</v>
      </c>
      <c r="I379">
        <v>2970</v>
      </c>
      <c r="J379" t="s">
        <v>20</v>
      </c>
      <c r="K379" t="s">
        <v>29</v>
      </c>
    </row>
    <row r="380" spans="1:11" x14ac:dyDescent="0.3">
      <c r="A380" t="s">
        <v>690</v>
      </c>
      <c r="B380" t="s">
        <v>689</v>
      </c>
      <c r="C380" t="s">
        <v>23</v>
      </c>
      <c r="D380" t="s">
        <v>58</v>
      </c>
      <c r="E380">
        <v>3</v>
      </c>
      <c r="F380">
        <v>8</v>
      </c>
      <c r="G380">
        <v>0</v>
      </c>
      <c r="H380">
        <v>24</v>
      </c>
      <c r="I380">
        <v>15</v>
      </c>
      <c r="J380" t="s">
        <v>20</v>
      </c>
      <c r="K380" t="s">
        <v>16</v>
      </c>
    </row>
    <row r="381" spans="1:11" x14ac:dyDescent="0.3">
      <c r="A381" t="s">
        <v>691</v>
      </c>
      <c r="B381" t="s">
        <v>692</v>
      </c>
      <c r="C381" t="s">
        <v>18</v>
      </c>
      <c r="D381" t="s">
        <v>128</v>
      </c>
      <c r="E381">
        <v>7</v>
      </c>
      <c r="F381">
        <v>350</v>
      </c>
      <c r="G381">
        <v>0</v>
      </c>
      <c r="H381">
        <v>2450</v>
      </c>
      <c r="I381">
        <v>1820</v>
      </c>
      <c r="J381" t="s">
        <v>20</v>
      </c>
      <c r="K381" t="s">
        <v>32</v>
      </c>
    </row>
    <row r="382" spans="1:11" x14ac:dyDescent="0.3">
      <c r="A382" t="s">
        <v>693</v>
      </c>
      <c r="B382" t="s">
        <v>694</v>
      </c>
      <c r="C382" t="s">
        <v>18</v>
      </c>
      <c r="D382" t="s">
        <v>27</v>
      </c>
      <c r="E382">
        <v>4</v>
      </c>
      <c r="F382">
        <v>80</v>
      </c>
      <c r="G382">
        <v>0.15</v>
      </c>
      <c r="H382">
        <v>272</v>
      </c>
      <c r="I382">
        <v>152</v>
      </c>
      <c r="J382" t="s">
        <v>15</v>
      </c>
      <c r="K382" t="s">
        <v>16</v>
      </c>
    </row>
    <row r="383" spans="1:11" x14ac:dyDescent="0.3">
      <c r="A383" t="s">
        <v>695</v>
      </c>
      <c r="B383" t="s">
        <v>694</v>
      </c>
      <c r="C383" t="s">
        <v>18</v>
      </c>
      <c r="D383" t="s">
        <v>77</v>
      </c>
      <c r="E383">
        <v>5</v>
      </c>
      <c r="F383">
        <v>1200</v>
      </c>
      <c r="G383">
        <v>0</v>
      </c>
      <c r="H383">
        <v>6000</v>
      </c>
      <c r="I383">
        <v>4500</v>
      </c>
      <c r="J383" t="s">
        <v>20</v>
      </c>
      <c r="K383" t="s">
        <v>32</v>
      </c>
    </row>
    <row r="384" spans="1:11" x14ac:dyDescent="0.3">
      <c r="A384" t="s">
        <v>696</v>
      </c>
      <c r="B384" t="s">
        <v>697</v>
      </c>
      <c r="C384" t="s">
        <v>18</v>
      </c>
      <c r="D384" t="s">
        <v>77</v>
      </c>
      <c r="E384">
        <v>3</v>
      </c>
      <c r="F384">
        <v>1200</v>
      </c>
      <c r="G384">
        <v>0</v>
      </c>
      <c r="H384">
        <v>3600</v>
      </c>
      <c r="I384">
        <v>2700</v>
      </c>
      <c r="J384" t="s">
        <v>28</v>
      </c>
      <c r="K384" t="s">
        <v>29</v>
      </c>
    </row>
    <row r="385" spans="1:11" x14ac:dyDescent="0.3">
      <c r="A385" t="s">
        <v>698</v>
      </c>
      <c r="B385" t="s">
        <v>699</v>
      </c>
      <c r="C385" t="s">
        <v>23</v>
      </c>
      <c r="D385" t="s">
        <v>58</v>
      </c>
      <c r="E385">
        <v>7</v>
      </c>
      <c r="F385">
        <v>8</v>
      </c>
      <c r="G385">
        <v>0</v>
      </c>
      <c r="H385">
        <v>56</v>
      </c>
      <c r="I385">
        <v>35</v>
      </c>
      <c r="J385" t="s">
        <v>44</v>
      </c>
      <c r="K385" t="s">
        <v>16</v>
      </c>
    </row>
    <row r="386" spans="1:11" x14ac:dyDescent="0.3">
      <c r="A386" t="s">
        <v>700</v>
      </c>
      <c r="B386" t="s">
        <v>701</v>
      </c>
      <c r="C386" t="s">
        <v>18</v>
      </c>
      <c r="D386" t="s">
        <v>19</v>
      </c>
      <c r="E386">
        <v>8</v>
      </c>
      <c r="F386">
        <v>40</v>
      </c>
      <c r="G386">
        <v>0</v>
      </c>
      <c r="H386">
        <v>320</v>
      </c>
      <c r="I386">
        <v>200</v>
      </c>
      <c r="J386" t="s">
        <v>44</v>
      </c>
      <c r="K386" t="s">
        <v>32</v>
      </c>
    </row>
    <row r="387" spans="1:11" x14ac:dyDescent="0.3">
      <c r="A387" t="s">
        <v>702</v>
      </c>
      <c r="B387" t="s">
        <v>701</v>
      </c>
      <c r="C387" t="s">
        <v>13</v>
      </c>
      <c r="D387" t="s">
        <v>51</v>
      </c>
      <c r="E387">
        <v>9</v>
      </c>
      <c r="F387">
        <v>250</v>
      </c>
      <c r="G387">
        <v>0</v>
      </c>
      <c r="H387">
        <v>2250</v>
      </c>
      <c r="I387">
        <v>1620</v>
      </c>
      <c r="J387" t="s">
        <v>15</v>
      </c>
      <c r="K387" t="s">
        <v>32</v>
      </c>
    </row>
    <row r="388" spans="1:11" x14ac:dyDescent="0.3">
      <c r="A388" t="s">
        <v>703</v>
      </c>
      <c r="B388" t="s">
        <v>704</v>
      </c>
      <c r="C388" t="s">
        <v>18</v>
      </c>
      <c r="D388" t="s">
        <v>77</v>
      </c>
      <c r="E388">
        <v>3</v>
      </c>
      <c r="F388">
        <v>1200</v>
      </c>
      <c r="G388">
        <v>0.2</v>
      </c>
      <c r="H388">
        <v>2880</v>
      </c>
      <c r="I388">
        <v>1980</v>
      </c>
      <c r="J388" t="s">
        <v>28</v>
      </c>
      <c r="K388" t="s">
        <v>29</v>
      </c>
    </row>
    <row r="389" spans="1:11" x14ac:dyDescent="0.3">
      <c r="A389" t="s">
        <v>705</v>
      </c>
      <c r="B389" t="s">
        <v>706</v>
      </c>
      <c r="C389" t="s">
        <v>23</v>
      </c>
      <c r="D389" t="s">
        <v>31</v>
      </c>
      <c r="E389">
        <v>7</v>
      </c>
      <c r="F389">
        <v>25</v>
      </c>
      <c r="G389">
        <v>0.05</v>
      </c>
      <c r="H389">
        <v>166.25</v>
      </c>
      <c r="I389">
        <v>110.25</v>
      </c>
      <c r="J389" t="s">
        <v>20</v>
      </c>
      <c r="K389" t="s">
        <v>29</v>
      </c>
    </row>
    <row r="390" spans="1:11" x14ac:dyDescent="0.3">
      <c r="A390" t="s">
        <v>707</v>
      </c>
      <c r="B390" t="s">
        <v>708</v>
      </c>
      <c r="C390" t="s">
        <v>13</v>
      </c>
      <c r="D390" t="s">
        <v>38</v>
      </c>
      <c r="E390">
        <v>4</v>
      </c>
      <c r="F390">
        <v>150</v>
      </c>
      <c r="G390">
        <v>0</v>
      </c>
      <c r="H390">
        <v>600</v>
      </c>
      <c r="I390">
        <v>440</v>
      </c>
      <c r="J390" t="s">
        <v>20</v>
      </c>
      <c r="K390" t="s">
        <v>29</v>
      </c>
    </row>
    <row r="391" spans="1:11" x14ac:dyDescent="0.3">
      <c r="A391" t="s">
        <v>709</v>
      </c>
      <c r="B391" t="s">
        <v>708</v>
      </c>
      <c r="C391" t="s">
        <v>18</v>
      </c>
      <c r="D391" t="s">
        <v>77</v>
      </c>
      <c r="E391">
        <v>1</v>
      </c>
      <c r="F391">
        <v>1200</v>
      </c>
      <c r="G391">
        <v>0</v>
      </c>
      <c r="H391">
        <v>1200</v>
      </c>
      <c r="I391">
        <v>900</v>
      </c>
      <c r="J391" t="s">
        <v>44</v>
      </c>
      <c r="K391" t="s">
        <v>29</v>
      </c>
    </row>
    <row r="392" spans="1:11" x14ac:dyDescent="0.3">
      <c r="A392" t="s">
        <v>710</v>
      </c>
      <c r="B392" t="s">
        <v>711</v>
      </c>
      <c r="C392" t="s">
        <v>18</v>
      </c>
      <c r="D392" t="s">
        <v>27</v>
      </c>
      <c r="E392">
        <v>9</v>
      </c>
      <c r="F392">
        <v>80</v>
      </c>
      <c r="G392">
        <v>0</v>
      </c>
      <c r="H392">
        <v>720</v>
      </c>
      <c r="I392">
        <v>450</v>
      </c>
      <c r="J392" t="s">
        <v>28</v>
      </c>
      <c r="K392" t="s">
        <v>32</v>
      </c>
    </row>
    <row r="393" spans="1:11" x14ac:dyDescent="0.3">
      <c r="A393" t="s">
        <v>712</v>
      </c>
      <c r="B393" t="s">
        <v>713</v>
      </c>
      <c r="C393" t="s">
        <v>23</v>
      </c>
      <c r="D393" t="s">
        <v>35</v>
      </c>
      <c r="E393">
        <v>8</v>
      </c>
      <c r="F393">
        <v>15</v>
      </c>
      <c r="G393">
        <v>0</v>
      </c>
      <c r="H393">
        <v>120</v>
      </c>
      <c r="I393">
        <v>80</v>
      </c>
      <c r="J393" t="s">
        <v>15</v>
      </c>
      <c r="K393" t="s">
        <v>16</v>
      </c>
    </row>
    <row r="394" spans="1:11" x14ac:dyDescent="0.3">
      <c r="A394" t="s">
        <v>714</v>
      </c>
      <c r="B394" t="s">
        <v>713</v>
      </c>
      <c r="C394" t="s">
        <v>23</v>
      </c>
      <c r="D394" t="s">
        <v>43</v>
      </c>
      <c r="E394">
        <v>3</v>
      </c>
      <c r="F394">
        <v>20</v>
      </c>
      <c r="G394">
        <v>0</v>
      </c>
      <c r="H394">
        <v>60</v>
      </c>
      <c r="I394">
        <v>39</v>
      </c>
      <c r="J394" t="s">
        <v>20</v>
      </c>
      <c r="K394" t="s">
        <v>29</v>
      </c>
    </row>
    <row r="395" spans="1:11" x14ac:dyDescent="0.3">
      <c r="A395" t="s">
        <v>715</v>
      </c>
      <c r="B395" t="s">
        <v>716</v>
      </c>
      <c r="C395" t="s">
        <v>23</v>
      </c>
      <c r="D395" t="s">
        <v>43</v>
      </c>
      <c r="E395">
        <v>5</v>
      </c>
      <c r="F395">
        <v>20</v>
      </c>
      <c r="G395">
        <v>0.05</v>
      </c>
      <c r="H395">
        <v>95</v>
      </c>
      <c r="I395">
        <v>60</v>
      </c>
      <c r="J395" t="s">
        <v>15</v>
      </c>
      <c r="K395" t="s">
        <v>16</v>
      </c>
    </row>
    <row r="396" spans="1:11" x14ac:dyDescent="0.3">
      <c r="A396" t="s">
        <v>717</v>
      </c>
      <c r="B396" t="s">
        <v>718</v>
      </c>
      <c r="C396" t="s">
        <v>23</v>
      </c>
      <c r="D396" t="s">
        <v>43</v>
      </c>
      <c r="E396">
        <v>3</v>
      </c>
      <c r="F396">
        <v>20</v>
      </c>
      <c r="G396">
        <v>0.1</v>
      </c>
      <c r="H396">
        <v>54</v>
      </c>
      <c r="I396">
        <v>33</v>
      </c>
      <c r="J396" t="s">
        <v>28</v>
      </c>
      <c r="K396" t="s">
        <v>29</v>
      </c>
    </row>
    <row r="397" spans="1:11" x14ac:dyDescent="0.3">
      <c r="A397" t="s">
        <v>719</v>
      </c>
      <c r="B397" t="s">
        <v>720</v>
      </c>
      <c r="C397" t="s">
        <v>13</v>
      </c>
      <c r="D397" t="s">
        <v>67</v>
      </c>
      <c r="E397">
        <v>6</v>
      </c>
      <c r="F397">
        <v>35</v>
      </c>
      <c r="G397">
        <v>0</v>
      </c>
      <c r="H397">
        <v>210</v>
      </c>
      <c r="I397">
        <v>138</v>
      </c>
      <c r="J397" t="s">
        <v>20</v>
      </c>
      <c r="K397" t="s">
        <v>29</v>
      </c>
    </row>
    <row r="398" spans="1:11" x14ac:dyDescent="0.3">
      <c r="A398" t="s">
        <v>721</v>
      </c>
      <c r="B398" t="s">
        <v>720</v>
      </c>
      <c r="C398" t="s">
        <v>23</v>
      </c>
      <c r="D398" t="s">
        <v>31</v>
      </c>
      <c r="E398">
        <v>6</v>
      </c>
      <c r="F398">
        <v>25</v>
      </c>
      <c r="G398">
        <v>0.05</v>
      </c>
      <c r="H398">
        <v>142.5</v>
      </c>
      <c r="I398">
        <v>94.5</v>
      </c>
      <c r="J398" t="s">
        <v>20</v>
      </c>
      <c r="K398" t="s">
        <v>29</v>
      </c>
    </row>
    <row r="399" spans="1:11" x14ac:dyDescent="0.3">
      <c r="A399" t="s">
        <v>722</v>
      </c>
      <c r="B399" t="s">
        <v>723</v>
      </c>
      <c r="C399" t="s">
        <v>23</v>
      </c>
      <c r="D399" t="s">
        <v>43</v>
      </c>
      <c r="E399">
        <v>7</v>
      </c>
      <c r="F399">
        <v>20</v>
      </c>
      <c r="G399">
        <v>0.05</v>
      </c>
      <c r="H399">
        <v>133</v>
      </c>
      <c r="I399">
        <v>84</v>
      </c>
      <c r="J399" t="s">
        <v>15</v>
      </c>
      <c r="K399" t="s">
        <v>16</v>
      </c>
    </row>
    <row r="400" spans="1:11" x14ac:dyDescent="0.3">
      <c r="A400" t="s">
        <v>724</v>
      </c>
      <c r="B400" t="s">
        <v>725</v>
      </c>
      <c r="C400" t="s">
        <v>13</v>
      </c>
      <c r="D400" t="s">
        <v>67</v>
      </c>
      <c r="E400">
        <v>2</v>
      </c>
      <c r="F400">
        <v>35</v>
      </c>
      <c r="G400">
        <v>0</v>
      </c>
      <c r="H400">
        <v>70</v>
      </c>
      <c r="I400">
        <v>46</v>
      </c>
      <c r="J400" t="s">
        <v>44</v>
      </c>
      <c r="K400" t="s">
        <v>32</v>
      </c>
    </row>
    <row r="401" spans="1:11" x14ac:dyDescent="0.3">
      <c r="A401" t="s">
        <v>726</v>
      </c>
      <c r="B401" t="s">
        <v>727</v>
      </c>
      <c r="C401" t="s">
        <v>18</v>
      </c>
      <c r="D401" t="s">
        <v>77</v>
      </c>
      <c r="E401">
        <v>2</v>
      </c>
      <c r="F401">
        <v>1200</v>
      </c>
      <c r="G401">
        <v>0</v>
      </c>
      <c r="H401">
        <v>2400</v>
      </c>
      <c r="I401">
        <v>1800</v>
      </c>
      <c r="J401" t="s">
        <v>44</v>
      </c>
      <c r="K401" t="s">
        <v>16</v>
      </c>
    </row>
    <row r="402" spans="1:11" x14ac:dyDescent="0.3">
      <c r="A402" t="s">
        <v>728</v>
      </c>
      <c r="B402" t="s">
        <v>727</v>
      </c>
      <c r="C402" t="s">
        <v>18</v>
      </c>
      <c r="D402" t="s">
        <v>128</v>
      </c>
      <c r="E402">
        <v>1</v>
      </c>
      <c r="F402">
        <v>350</v>
      </c>
      <c r="G402">
        <v>0</v>
      </c>
      <c r="H402">
        <v>350</v>
      </c>
      <c r="I402">
        <v>260</v>
      </c>
      <c r="J402" t="s">
        <v>44</v>
      </c>
      <c r="K402" t="s">
        <v>29</v>
      </c>
    </row>
    <row r="403" spans="1:11" x14ac:dyDescent="0.3">
      <c r="A403" t="s">
        <v>729</v>
      </c>
      <c r="B403" t="s">
        <v>730</v>
      </c>
      <c r="C403" t="s">
        <v>13</v>
      </c>
      <c r="D403" t="s">
        <v>14</v>
      </c>
      <c r="E403">
        <v>4</v>
      </c>
      <c r="F403">
        <v>110</v>
      </c>
      <c r="G403">
        <v>0</v>
      </c>
      <c r="H403">
        <v>440</v>
      </c>
      <c r="I403">
        <v>320</v>
      </c>
      <c r="J403" t="s">
        <v>44</v>
      </c>
      <c r="K403" t="s">
        <v>16</v>
      </c>
    </row>
    <row r="404" spans="1:11" x14ac:dyDescent="0.3">
      <c r="A404" t="s">
        <v>731</v>
      </c>
      <c r="B404" t="s">
        <v>732</v>
      </c>
      <c r="C404" t="s">
        <v>18</v>
      </c>
      <c r="D404" t="s">
        <v>27</v>
      </c>
      <c r="E404">
        <v>4</v>
      </c>
      <c r="F404">
        <v>80</v>
      </c>
      <c r="G404">
        <v>0</v>
      </c>
      <c r="H404">
        <v>320</v>
      </c>
      <c r="I404">
        <v>200</v>
      </c>
      <c r="J404" t="s">
        <v>44</v>
      </c>
      <c r="K404" t="s">
        <v>32</v>
      </c>
    </row>
    <row r="405" spans="1:11" x14ac:dyDescent="0.3">
      <c r="A405" t="s">
        <v>733</v>
      </c>
      <c r="B405" t="s">
        <v>732</v>
      </c>
      <c r="C405" t="s">
        <v>13</v>
      </c>
      <c r="D405" t="s">
        <v>41</v>
      </c>
      <c r="E405">
        <v>6</v>
      </c>
      <c r="F405">
        <v>450</v>
      </c>
      <c r="G405">
        <v>0.15</v>
      </c>
      <c r="H405">
        <v>2295</v>
      </c>
      <c r="I405">
        <v>1575</v>
      </c>
      <c r="J405" t="s">
        <v>44</v>
      </c>
      <c r="K405" t="s">
        <v>16</v>
      </c>
    </row>
    <row r="406" spans="1:11" x14ac:dyDescent="0.3">
      <c r="A406" t="s">
        <v>734</v>
      </c>
      <c r="B406" t="s">
        <v>735</v>
      </c>
      <c r="C406" t="s">
        <v>13</v>
      </c>
      <c r="D406" t="s">
        <v>14</v>
      </c>
      <c r="E406">
        <v>3</v>
      </c>
      <c r="F406">
        <v>110</v>
      </c>
      <c r="G406">
        <v>0.15</v>
      </c>
      <c r="H406">
        <v>280.5</v>
      </c>
      <c r="I406">
        <v>190.5</v>
      </c>
      <c r="J406" t="s">
        <v>20</v>
      </c>
      <c r="K406" t="s">
        <v>16</v>
      </c>
    </row>
    <row r="407" spans="1:11" x14ac:dyDescent="0.3">
      <c r="A407" t="s">
        <v>736</v>
      </c>
      <c r="B407" t="s">
        <v>737</v>
      </c>
      <c r="C407" t="s">
        <v>23</v>
      </c>
      <c r="D407" t="s">
        <v>58</v>
      </c>
      <c r="E407">
        <v>1</v>
      </c>
      <c r="F407">
        <v>8</v>
      </c>
      <c r="G407">
        <v>0</v>
      </c>
      <c r="H407">
        <v>8</v>
      </c>
      <c r="I407">
        <v>5</v>
      </c>
      <c r="J407" t="s">
        <v>20</v>
      </c>
      <c r="K407" t="s">
        <v>32</v>
      </c>
    </row>
    <row r="408" spans="1:11" x14ac:dyDescent="0.3">
      <c r="A408" t="s">
        <v>738</v>
      </c>
      <c r="B408" t="s">
        <v>739</v>
      </c>
      <c r="C408" t="s">
        <v>23</v>
      </c>
      <c r="D408" t="s">
        <v>31</v>
      </c>
      <c r="E408">
        <v>1</v>
      </c>
      <c r="F408">
        <v>25</v>
      </c>
      <c r="G408">
        <v>0.1</v>
      </c>
      <c r="H408">
        <v>22.5</v>
      </c>
      <c r="I408">
        <v>14.5</v>
      </c>
      <c r="J408" t="s">
        <v>28</v>
      </c>
      <c r="K408" t="s">
        <v>32</v>
      </c>
    </row>
    <row r="409" spans="1:11" x14ac:dyDescent="0.3">
      <c r="A409" t="s">
        <v>740</v>
      </c>
      <c r="B409" t="s">
        <v>739</v>
      </c>
      <c r="C409" t="s">
        <v>18</v>
      </c>
      <c r="D409" t="s">
        <v>27</v>
      </c>
      <c r="E409">
        <v>7</v>
      </c>
      <c r="F409">
        <v>80</v>
      </c>
      <c r="G409">
        <v>0.1</v>
      </c>
      <c r="H409">
        <v>504</v>
      </c>
      <c r="I409">
        <v>294</v>
      </c>
      <c r="J409" t="s">
        <v>28</v>
      </c>
      <c r="K409" t="s">
        <v>16</v>
      </c>
    </row>
    <row r="410" spans="1:11" x14ac:dyDescent="0.3">
      <c r="A410" t="s">
        <v>741</v>
      </c>
      <c r="B410" t="s">
        <v>742</v>
      </c>
      <c r="C410" t="s">
        <v>23</v>
      </c>
      <c r="D410" t="s">
        <v>24</v>
      </c>
      <c r="E410">
        <v>2</v>
      </c>
      <c r="F410">
        <v>10</v>
      </c>
      <c r="G410">
        <v>0.05</v>
      </c>
      <c r="H410">
        <v>19</v>
      </c>
      <c r="I410">
        <v>11</v>
      </c>
      <c r="J410" t="s">
        <v>28</v>
      </c>
      <c r="K410" t="s">
        <v>29</v>
      </c>
    </row>
    <row r="411" spans="1:11" x14ac:dyDescent="0.3">
      <c r="A411" t="s">
        <v>743</v>
      </c>
      <c r="B411" t="s">
        <v>744</v>
      </c>
      <c r="C411" t="s">
        <v>18</v>
      </c>
      <c r="D411" t="s">
        <v>128</v>
      </c>
      <c r="E411">
        <v>8</v>
      </c>
      <c r="F411">
        <v>350</v>
      </c>
      <c r="G411">
        <v>0.1</v>
      </c>
      <c r="H411">
        <v>2520</v>
      </c>
      <c r="I411">
        <v>1800</v>
      </c>
      <c r="J411" t="s">
        <v>15</v>
      </c>
      <c r="K411" t="s">
        <v>16</v>
      </c>
    </row>
    <row r="412" spans="1:11" x14ac:dyDescent="0.3">
      <c r="A412" t="s">
        <v>745</v>
      </c>
      <c r="B412" t="s">
        <v>746</v>
      </c>
      <c r="C412" t="s">
        <v>13</v>
      </c>
      <c r="D412" t="s">
        <v>41</v>
      </c>
      <c r="E412">
        <v>9</v>
      </c>
      <c r="F412">
        <v>450</v>
      </c>
      <c r="G412">
        <v>0.05</v>
      </c>
      <c r="H412">
        <v>3847.5</v>
      </c>
      <c r="I412">
        <v>2767.5</v>
      </c>
      <c r="J412" t="s">
        <v>28</v>
      </c>
      <c r="K412" t="s">
        <v>29</v>
      </c>
    </row>
    <row r="413" spans="1:11" x14ac:dyDescent="0.3">
      <c r="A413" t="s">
        <v>747</v>
      </c>
      <c r="B413" t="s">
        <v>746</v>
      </c>
      <c r="C413" t="s">
        <v>13</v>
      </c>
      <c r="D413" t="s">
        <v>38</v>
      </c>
      <c r="E413">
        <v>6</v>
      </c>
      <c r="F413">
        <v>150</v>
      </c>
      <c r="G413">
        <v>0</v>
      </c>
      <c r="H413">
        <v>900</v>
      </c>
      <c r="I413">
        <v>660</v>
      </c>
      <c r="J413" t="s">
        <v>15</v>
      </c>
      <c r="K413" t="s">
        <v>16</v>
      </c>
    </row>
    <row r="414" spans="1:11" x14ac:dyDescent="0.3">
      <c r="A414" t="s">
        <v>748</v>
      </c>
      <c r="B414" t="s">
        <v>749</v>
      </c>
      <c r="C414" t="s">
        <v>13</v>
      </c>
      <c r="D414" t="s">
        <v>14</v>
      </c>
      <c r="E414">
        <v>2</v>
      </c>
      <c r="F414">
        <v>110</v>
      </c>
      <c r="G414">
        <v>0.05</v>
      </c>
      <c r="H414">
        <v>209</v>
      </c>
      <c r="I414">
        <v>149</v>
      </c>
      <c r="J414" t="s">
        <v>28</v>
      </c>
      <c r="K414" t="s">
        <v>32</v>
      </c>
    </row>
    <row r="415" spans="1:11" x14ac:dyDescent="0.3">
      <c r="A415" t="s">
        <v>750</v>
      </c>
      <c r="B415" t="s">
        <v>751</v>
      </c>
      <c r="C415" t="s">
        <v>23</v>
      </c>
      <c r="D415" t="s">
        <v>35</v>
      </c>
      <c r="E415">
        <v>3</v>
      </c>
      <c r="F415">
        <v>15</v>
      </c>
      <c r="G415">
        <v>0</v>
      </c>
      <c r="H415">
        <v>45</v>
      </c>
      <c r="I415">
        <v>30</v>
      </c>
      <c r="J415" t="s">
        <v>15</v>
      </c>
      <c r="K415" t="s">
        <v>16</v>
      </c>
    </row>
    <row r="416" spans="1:11" x14ac:dyDescent="0.3">
      <c r="A416" t="s">
        <v>752</v>
      </c>
      <c r="B416" t="s">
        <v>751</v>
      </c>
      <c r="C416" t="s">
        <v>23</v>
      </c>
      <c r="D416" t="s">
        <v>35</v>
      </c>
      <c r="E416">
        <v>9</v>
      </c>
      <c r="F416">
        <v>15</v>
      </c>
      <c r="G416">
        <v>0.1</v>
      </c>
      <c r="H416">
        <v>121.5</v>
      </c>
      <c r="I416">
        <v>76.5</v>
      </c>
      <c r="J416" t="s">
        <v>20</v>
      </c>
      <c r="K416" t="s">
        <v>32</v>
      </c>
    </row>
    <row r="417" spans="1:11" x14ac:dyDescent="0.3">
      <c r="A417" t="s">
        <v>753</v>
      </c>
      <c r="B417" t="s">
        <v>754</v>
      </c>
      <c r="C417" t="s">
        <v>23</v>
      </c>
      <c r="D417" t="s">
        <v>24</v>
      </c>
      <c r="E417">
        <v>4</v>
      </c>
      <c r="F417">
        <v>10</v>
      </c>
      <c r="G417">
        <v>0.05</v>
      </c>
      <c r="H417">
        <v>38</v>
      </c>
      <c r="I417">
        <v>22</v>
      </c>
      <c r="J417" t="s">
        <v>15</v>
      </c>
      <c r="K417" t="s">
        <v>16</v>
      </c>
    </row>
    <row r="418" spans="1:11" x14ac:dyDescent="0.3">
      <c r="A418" t="s">
        <v>755</v>
      </c>
      <c r="B418" t="s">
        <v>756</v>
      </c>
      <c r="C418" t="s">
        <v>23</v>
      </c>
      <c r="D418" t="s">
        <v>43</v>
      </c>
      <c r="E418">
        <v>2</v>
      </c>
      <c r="F418">
        <v>20</v>
      </c>
      <c r="G418">
        <v>0</v>
      </c>
      <c r="H418">
        <v>40</v>
      </c>
      <c r="I418">
        <v>26</v>
      </c>
      <c r="J418" t="s">
        <v>44</v>
      </c>
      <c r="K418" t="s">
        <v>29</v>
      </c>
    </row>
    <row r="419" spans="1:11" x14ac:dyDescent="0.3">
      <c r="A419" t="s">
        <v>757</v>
      </c>
      <c r="B419" t="s">
        <v>758</v>
      </c>
      <c r="C419" t="s">
        <v>23</v>
      </c>
      <c r="D419" t="s">
        <v>58</v>
      </c>
      <c r="E419">
        <v>9</v>
      </c>
      <c r="F419">
        <v>8</v>
      </c>
      <c r="G419">
        <v>0</v>
      </c>
      <c r="H419">
        <v>72</v>
      </c>
      <c r="I419">
        <v>45</v>
      </c>
      <c r="J419" t="s">
        <v>44</v>
      </c>
      <c r="K419" t="s">
        <v>29</v>
      </c>
    </row>
    <row r="420" spans="1:11" x14ac:dyDescent="0.3">
      <c r="A420" t="s">
        <v>759</v>
      </c>
      <c r="B420" t="s">
        <v>758</v>
      </c>
      <c r="C420" t="s">
        <v>13</v>
      </c>
      <c r="D420" t="s">
        <v>67</v>
      </c>
      <c r="E420">
        <v>5</v>
      </c>
      <c r="F420">
        <v>35</v>
      </c>
      <c r="G420">
        <v>0.05</v>
      </c>
      <c r="H420">
        <v>166.25</v>
      </c>
      <c r="I420">
        <v>106.25</v>
      </c>
      <c r="J420" t="s">
        <v>15</v>
      </c>
      <c r="K420" t="s">
        <v>29</v>
      </c>
    </row>
    <row r="421" spans="1:11" x14ac:dyDescent="0.3">
      <c r="A421" t="s">
        <v>760</v>
      </c>
      <c r="B421" t="s">
        <v>761</v>
      </c>
      <c r="C421" t="s">
        <v>23</v>
      </c>
      <c r="D421" t="s">
        <v>58</v>
      </c>
      <c r="E421">
        <v>2</v>
      </c>
      <c r="F421">
        <v>8</v>
      </c>
      <c r="G421">
        <v>0.05</v>
      </c>
      <c r="H421">
        <v>15.2</v>
      </c>
      <c r="I421">
        <v>9.1999999999999993</v>
      </c>
      <c r="J421" t="s">
        <v>44</v>
      </c>
      <c r="K421" t="s">
        <v>16</v>
      </c>
    </row>
    <row r="422" spans="1:11" x14ac:dyDescent="0.3">
      <c r="A422" t="s">
        <v>762</v>
      </c>
      <c r="B422" t="s">
        <v>763</v>
      </c>
      <c r="C422" t="s">
        <v>13</v>
      </c>
      <c r="D422" t="s">
        <v>51</v>
      </c>
      <c r="E422">
        <v>1</v>
      </c>
      <c r="F422">
        <v>250</v>
      </c>
      <c r="G422">
        <v>0.05</v>
      </c>
      <c r="H422">
        <v>237.5</v>
      </c>
      <c r="I422">
        <v>167.5</v>
      </c>
      <c r="J422" t="s">
        <v>20</v>
      </c>
      <c r="K422" t="s">
        <v>16</v>
      </c>
    </row>
    <row r="423" spans="1:11" x14ac:dyDescent="0.3">
      <c r="A423" t="s">
        <v>764</v>
      </c>
      <c r="B423" t="s">
        <v>765</v>
      </c>
      <c r="C423" t="s">
        <v>18</v>
      </c>
      <c r="D423" t="s">
        <v>128</v>
      </c>
      <c r="E423">
        <v>6</v>
      </c>
      <c r="F423">
        <v>350</v>
      </c>
      <c r="G423">
        <v>0</v>
      </c>
      <c r="H423">
        <v>2100</v>
      </c>
      <c r="I423">
        <v>1560</v>
      </c>
      <c r="J423" t="s">
        <v>20</v>
      </c>
      <c r="K423" t="s">
        <v>16</v>
      </c>
    </row>
    <row r="424" spans="1:11" x14ac:dyDescent="0.3">
      <c r="A424" t="s">
        <v>766</v>
      </c>
      <c r="B424" t="s">
        <v>765</v>
      </c>
      <c r="C424" t="s">
        <v>13</v>
      </c>
      <c r="D424" t="s">
        <v>38</v>
      </c>
      <c r="E424">
        <v>3</v>
      </c>
      <c r="F424">
        <v>150</v>
      </c>
      <c r="G424">
        <v>0.2</v>
      </c>
      <c r="H424">
        <v>360</v>
      </c>
      <c r="I424">
        <v>240</v>
      </c>
      <c r="J424" t="s">
        <v>44</v>
      </c>
      <c r="K424" t="s">
        <v>16</v>
      </c>
    </row>
    <row r="425" spans="1:11" x14ac:dyDescent="0.3">
      <c r="A425" t="s">
        <v>767</v>
      </c>
      <c r="B425" t="s">
        <v>768</v>
      </c>
      <c r="C425" t="s">
        <v>18</v>
      </c>
      <c r="D425" t="s">
        <v>27</v>
      </c>
      <c r="E425">
        <v>3</v>
      </c>
      <c r="F425">
        <v>80</v>
      </c>
      <c r="G425">
        <v>0</v>
      </c>
      <c r="H425">
        <v>240</v>
      </c>
      <c r="I425">
        <v>150</v>
      </c>
      <c r="J425" t="s">
        <v>20</v>
      </c>
      <c r="K425" t="s">
        <v>29</v>
      </c>
    </row>
    <row r="426" spans="1:11" x14ac:dyDescent="0.3">
      <c r="A426" t="s">
        <v>769</v>
      </c>
      <c r="B426" t="s">
        <v>770</v>
      </c>
      <c r="C426" t="s">
        <v>18</v>
      </c>
      <c r="D426" t="s">
        <v>19</v>
      </c>
      <c r="E426">
        <v>5</v>
      </c>
      <c r="F426">
        <v>40</v>
      </c>
      <c r="G426">
        <v>0.2</v>
      </c>
      <c r="H426">
        <v>160</v>
      </c>
      <c r="I426">
        <v>85</v>
      </c>
      <c r="J426" t="s">
        <v>44</v>
      </c>
      <c r="K426" t="s">
        <v>32</v>
      </c>
    </row>
    <row r="427" spans="1:11" x14ac:dyDescent="0.3">
      <c r="A427" t="s">
        <v>771</v>
      </c>
      <c r="B427" t="s">
        <v>772</v>
      </c>
      <c r="C427" t="s">
        <v>13</v>
      </c>
      <c r="D427" t="s">
        <v>67</v>
      </c>
      <c r="E427">
        <v>9</v>
      </c>
      <c r="F427">
        <v>35</v>
      </c>
      <c r="G427">
        <v>0.2</v>
      </c>
      <c r="H427">
        <v>252</v>
      </c>
      <c r="I427">
        <v>144</v>
      </c>
      <c r="J427" t="s">
        <v>15</v>
      </c>
      <c r="K427" t="s">
        <v>32</v>
      </c>
    </row>
    <row r="428" spans="1:11" x14ac:dyDescent="0.3">
      <c r="A428" t="s">
        <v>773</v>
      </c>
      <c r="B428" t="s">
        <v>772</v>
      </c>
      <c r="C428" t="s">
        <v>13</v>
      </c>
      <c r="D428" t="s">
        <v>14</v>
      </c>
      <c r="E428">
        <v>6</v>
      </c>
      <c r="F428">
        <v>110</v>
      </c>
      <c r="G428">
        <v>0.05</v>
      </c>
      <c r="H428">
        <v>627</v>
      </c>
      <c r="I428">
        <v>447</v>
      </c>
      <c r="J428" t="s">
        <v>15</v>
      </c>
      <c r="K428" t="s">
        <v>29</v>
      </c>
    </row>
    <row r="429" spans="1:11" x14ac:dyDescent="0.3">
      <c r="A429" t="s">
        <v>774</v>
      </c>
      <c r="B429" t="s">
        <v>775</v>
      </c>
      <c r="C429" t="s">
        <v>13</v>
      </c>
      <c r="D429" t="s">
        <v>14</v>
      </c>
      <c r="E429">
        <v>7</v>
      </c>
      <c r="F429">
        <v>110</v>
      </c>
      <c r="G429">
        <v>0</v>
      </c>
      <c r="H429">
        <v>770</v>
      </c>
      <c r="I429">
        <v>560</v>
      </c>
      <c r="J429" t="s">
        <v>44</v>
      </c>
      <c r="K429" t="s">
        <v>16</v>
      </c>
    </row>
    <row r="430" spans="1:11" x14ac:dyDescent="0.3">
      <c r="A430" t="s">
        <v>776</v>
      </c>
      <c r="B430" t="s">
        <v>777</v>
      </c>
      <c r="C430" t="s">
        <v>18</v>
      </c>
      <c r="D430" t="s">
        <v>77</v>
      </c>
      <c r="E430">
        <v>5</v>
      </c>
      <c r="F430">
        <v>1200</v>
      </c>
      <c r="G430">
        <v>0</v>
      </c>
      <c r="H430">
        <v>6000</v>
      </c>
      <c r="I430">
        <v>4500</v>
      </c>
      <c r="J430" t="s">
        <v>15</v>
      </c>
      <c r="K430" t="s">
        <v>32</v>
      </c>
    </row>
    <row r="431" spans="1:11" x14ac:dyDescent="0.3">
      <c r="A431" t="s">
        <v>778</v>
      </c>
      <c r="B431" t="s">
        <v>777</v>
      </c>
      <c r="C431" t="s">
        <v>13</v>
      </c>
      <c r="D431" t="s">
        <v>38</v>
      </c>
      <c r="E431">
        <v>1</v>
      </c>
      <c r="F431">
        <v>150</v>
      </c>
      <c r="G431">
        <v>0.05</v>
      </c>
      <c r="H431">
        <v>142.5</v>
      </c>
      <c r="I431">
        <v>102.5</v>
      </c>
      <c r="J431" t="s">
        <v>15</v>
      </c>
      <c r="K431" t="s">
        <v>29</v>
      </c>
    </row>
    <row r="432" spans="1:11" x14ac:dyDescent="0.3">
      <c r="A432" t="s">
        <v>779</v>
      </c>
      <c r="B432" t="s">
        <v>780</v>
      </c>
      <c r="C432" t="s">
        <v>13</v>
      </c>
      <c r="D432" t="s">
        <v>38</v>
      </c>
      <c r="E432">
        <v>4</v>
      </c>
      <c r="F432">
        <v>150</v>
      </c>
      <c r="G432">
        <v>0</v>
      </c>
      <c r="H432">
        <v>600</v>
      </c>
      <c r="I432">
        <v>440</v>
      </c>
      <c r="J432" t="s">
        <v>28</v>
      </c>
      <c r="K432" t="s">
        <v>32</v>
      </c>
    </row>
    <row r="433" spans="1:11" x14ac:dyDescent="0.3">
      <c r="A433" t="s">
        <v>781</v>
      </c>
      <c r="B433" t="s">
        <v>782</v>
      </c>
      <c r="C433" t="s">
        <v>13</v>
      </c>
      <c r="D433" t="s">
        <v>51</v>
      </c>
      <c r="E433">
        <v>8</v>
      </c>
      <c r="F433">
        <v>250</v>
      </c>
      <c r="G433">
        <v>0.05</v>
      </c>
      <c r="H433">
        <v>1900</v>
      </c>
      <c r="I433">
        <v>1340</v>
      </c>
      <c r="J433" t="s">
        <v>15</v>
      </c>
      <c r="K433" t="s">
        <v>16</v>
      </c>
    </row>
    <row r="434" spans="1:11" x14ac:dyDescent="0.3">
      <c r="A434" t="s">
        <v>783</v>
      </c>
      <c r="B434" t="s">
        <v>784</v>
      </c>
      <c r="C434" t="s">
        <v>18</v>
      </c>
      <c r="D434" t="s">
        <v>77</v>
      </c>
      <c r="E434">
        <v>5</v>
      </c>
      <c r="F434">
        <v>1200</v>
      </c>
      <c r="G434">
        <v>0.05</v>
      </c>
      <c r="H434">
        <v>5700</v>
      </c>
      <c r="I434">
        <v>4200</v>
      </c>
      <c r="J434" t="s">
        <v>15</v>
      </c>
      <c r="K434" t="s">
        <v>32</v>
      </c>
    </row>
    <row r="435" spans="1:11" x14ac:dyDescent="0.3">
      <c r="A435" t="s">
        <v>785</v>
      </c>
      <c r="B435" t="s">
        <v>784</v>
      </c>
      <c r="C435" t="s">
        <v>23</v>
      </c>
      <c r="D435" t="s">
        <v>58</v>
      </c>
      <c r="E435">
        <v>6</v>
      </c>
      <c r="F435">
        <v>8</v>
      </c>
      <c r="G435">
        <v>0.05</v>
      </c>
      <c r="H435">
        <v>45.6</v>
      </c>
      <c r="I435">
        <v>27.6</v>
      </c>
      <c r="J435" t="s">
        <v>28</v>
      </c>
      <c r="K435" t="s">
        <v>16</v>
      </c>
    </row>
    <row r="436" spans="1:11" x14ac:dyDescent="0.3">
      <c r="A436" t="s">
        <v>786</v>
      </c>
      <c r="B436" t="s">
        <v>787</v>
      </c>
      <c r="C436" t="s">
        <v>23</v>
      </c>
      <c r="D436" t="s">
        <v>43</v>
      </c>
      <c r="E436">
        <v>5</v>
      </c>
      <c r="F436">
        <v>20</v>
      </c>
      <c r="G436">
        <v>0.1</v>
      </c>
      <c r="H436">
        <v>90</v>
      </c>
      <c r="I436">
        <v>55</v>
      </c>
      <c r="J436" t="s">
        <v>15</v>
      </c>
      <c r="K436" t="s">
        <v>32</v>
      </c>
    </row>
    <row r="437" spans="1:11" x14ac:dyDescent="0.3">
      <c r="A437" t="s">
        <v>788</v>
      </c>
      <c r="B437" t="s">
        <v>789</v>
      </c>
      <c r="C437" t="s">
        <v>23</v>
      </c>
      <c r="D437" t="s">
        <v>35</v>
      </c>
      <c r="E437">
        <v>3</v>
      </c>
      <c r="F437">
        <v>15</v>
      </c>
      <c r="G437">
        <v>0</v>
      </c>
      <c r="H437">
        <v>45</v>
      </c>
      <c r="I437">
        <v>30</v>
      </c>
      <c r="J437" t="s">
        <v>28</v>
      </c>
      <c r="K437" t="s">
        <v>29</v>
      </c>
    </row>
    <row r="438" spans="1:11" x14ac:dyDescent="0.3">
      <c r="A438" t="s">
        <v>790</v>
      </c>
      <c r="B438" t="s">
        <v>791</v>
      </c>
      <c r="C438" t="s">
        <v>23</v>
      </c>
      <c r="D438" t="s">
        <v>24</v>
      </c>
      <c r="E438">
        <v>4</v>
      </c>
      <c r="F438">
        <v>10</v>
      </c>
      <c r="G438">
        <v>0</v>
      </c>
      <c r="H438">
        <v>40</v>
      </c>
      <c r="I438">
        <v>24</v>
      </c>
      <c r="J438" t="s">
        <v>15</v>
      </c>
      <c r="K438" t="s">
        <v>29</v>
      </c>
    </row>
    <row r="439" spans="1:11" x14ac:dyDescent="0.3">
      <c r="A439" t="s">
        <v>792</v>
      </c>
      <c r="B439" t="s">
        <v>791</v>
      </c>
      <c r="C439" t="s">
        <v>13</v>
      </c>
      <c r="D439" t="s">
        <v>38</v>
      </c>
      <c r="E439">
        <v>9</v>
      </c>
      <c r="F439">
        <v>150</v>
      </c>
      <c r="G439">
        <v>0</v>
      </c>
      <c r="H439">
        <v>1350</v>
      </c>
      <c r="I439">
        <v>990</v>
      </c>
      <c r="J439" t="s">
        <v>20</v>
      </c>
      <c r="K439" t="s">
        <v>32</v>
      </c>
    </row>
    <row r="440" spans="1:11" x14ac:dyDescent="0.3">
      <c r="A440" t="s">
        <v>793</v>
      </c>
      <c r="B440" t="s">
        <v>794</v>
      </c>
      <c r="C440" t="s">
        <v>13</v>
      </c>
      <c r="D440" t="s">
        <v>67</v>
      </c>
      <c r="E440">
        <v>3</v>
      </c>
      <c r="F440">
        <v>35</v>
      </c>
      <c r="G440">
        <v>0.05</v>
      </c>
      <c r="H440">
        <v>99.75</v>
      </c>
      <c r="I440">
        <v>63.75</v>
      </c>
      <c r="J440" t="s">
        <v>20</v>
      </c>
      <c r="K440" t="s">
        <v>32</v>
      </c>
    </row>
    <row r="441" spans="1:11" x14ac:dyDescent="0.3">
      <c r="A441" t="s">
        <v>795</v>
      </c>
      <c r="B441" t="s">
        <v>796</v>
      </c>
      <c r="C441" t="s">
        <v>13</v>
      </c>
      <c r="D441" t="s">
        <v>51</v>
      </c>
      <c r="E441">
        <v>8</v>
      </c>
      <c r="F441">
        <v>250</v>
      </c>
      <c r="G441">
        <v>0.15</v>
      </c>
      <c r="H441">
        <v>1700</v>
      </c>
      <c r="I441">
        <v>1140</v>
      </c>
      <c r="J441" t="s">
        <v>44</v>
      </c>
      <c r="K441" t="s">
        <v>32</v>
      </c>
    </row>
    <row r="442" spans="1:11" x14ac:dyDescent="0.3">
      <c r="A442" t="s">
        <v>797</v>
      </c>
      <c r="B442" t="s">
        <v>796</v>
      </c>
      <c r="C442" t="s">
        <v>23</v>
      </c>
      <c r="D442" t="s">
        <v>58</v>
      </c>
      <c r="E442">
        <v>6</v>
      </c>
      <c r="F442">
        <v>8</v>
      </c>
      <c r="G442">
        <v>0</v>
      </c>
      <c r="H442">
        <v>48</v>
      </c>
      <c r="I442">
        <v>30</v>
      </c>
      <c r="J442" t="s">
        <v>15</v>
      </c>
      <c r="K442" t="s">
        <v>32</v>
      </c>
    </row>
    <row r="443" spans="1:11" x14ac:dyDescent="0.3">
      <c r="A443" t="s">
        <v>798</v>
      </c>
      <c r="B443" t="s">
        <v>799</v>
      </c>
      <c r="C443" t="s">
        <v>18</v>
      </c>
      <c r="D443" t="s">
        <v>61</v>
      </c>
      <c r="E443">
        <v>6</v>
      </c>
      <c r="F443">
        <v>25</v>
      </c>
      <c r="G443">
        <v>0.05</v>
      </c>
      <c r="H443">
        <v>142.5</v>
      </c>
      <c r="I443">
        <v>82.5</v>
      </c>
      <c r="J443" t="s">
        <v>20</v>
      </c>
      <c r="K443" t="s">
        <v>29</v>
      </c>
    </row>
    <row r="444" spans="1:11" x14ac:dyDescent="0.3">
      <c r="A444" t="s">
        <v>800</v>
      </c>
      <c r="B444" t="s">
        <v>801</v>
      </c>
      <c r="C444" t="s">
        <v>18</v>
      </c>
      <c r="D444" t="s">
        <v>19</v>
      </c>
      <c r="E444">
        <v>2</v>
      </c>
      <c r="F444">
        <v>40</v>
      </c>
      <c r="G444">
        <v>0</v>
      </c>
      <c r="H444">
        <v>80</v>
      </c>
      <c r="I444">
        <v>50</v>
      </c>
      <c r="J444" t="s">
        <v>20</v>
      </c>
      <c r="K444" t="s">
        <v>29</v>
      </c>
    </row>
    <row r="445" spans="1:11" x14ac:dyDescent="0.3">
      <c r="A445" t="s">
        <v>802</v>
      </c>
      <c r="B445" t="s">
        <v>803</v>
      </c>
      <c r="C445" t="s">
        <v>23</v>
      </c>
      <c r="D445" t="s">
        <v>58</v>
      </c>
      <c r="E445">
        <v>3</v>
      </c>
      <c r="F445">
        <v>8</v>
      </c>
      <c r="G445">
        <v>0</v>
      </c>
      <c r="H445">
        <v>24</v>
      </c>
      <c r="I445">
        <v>15</v>
      </c>
      <c r="J445" t="s">
        <v>28</v>
      </c>
      <c r="K445" t="s">
        <v>16</v>
      </c>
    </row>
    <row r="446" spans="1:11" x14ac:dyDescent="0.3">
      <c r="A446" t="s">
        <v>804</v>
      </c>
      <c r="B446" t="s">
        <v>803</v>
      </c>
      <c r="C446" t="s">
        <v>18</v>
      </c>
      <c r="D446" t="s">
        <v>27</v>
      </c>
      <c r="E446">
        <v>1</v>
      </c>
      <c r="F446">
        <v>80</v>
      </c>
      <c r="G446">
        <v>0</v>
      </c>
      <c r="H446">
        <v>80</v>
      </c>
      <c r="I446">
        <v>50</v>
      </c>
      <c r="J446" t="s">
        <v>20</v>
      </c>
      <c r="K446" t="s">
        <v>16</v>
      </c>
    </row>
    <row r="447" spans="1:11" x14ac:dyDescent="0.3">
      <c r="A447" t="s">
        <v>805</v>
      </c>
      <c r="B447" t="s">
        <v>806</v>
      </c>
      <c r="C447" t="s">
        <v>18</v>
      </c>
      <c r="D447" t="s">
        <v>19</v>
      </c>
      <c r="E447">
        <v>9</v>
      </c>
      <c r="F447">
        <v>40</v>
      </c>
      <c r="G447">
        <v>0.1</v>
      </c>
      <c r="H447">
        <v>324</v>
      </c>
      <c r="I447">
        <v>189</v>
      </c>
      <c r="J447" t="s">
        <v>28</v>
      </c>
      <c r="K447" t="s">
        <v>29</v>
      </c>
    </row>
    <row r="448" spans="1:11" x14ac:dyDescent="0.3">
      <c r="A448" t="s">
        <v>807</v>
      </c>
      <c r="B448" t="s">
        <v>808</v>
      </c>
      <c r="C448" t="s">
        <v>18</v>
      </c>
      <c r="D448" t="s">
        <v>77</v>
      </c>
      <c r="E448">
        <v>2</v>
      </c>
      <c r="F448">
        <v>1200</v>
      </c>
      <c r="G448">
        <v>0</v>
      </c>
      <c r="H448">
        <v>2400</v>
      </c>
      <c r="I448">
        <v>1800</v>
      </c>
      <c r="J448" t="s">
        <v>44</v>
      </c>
      <c r="K448" t="s">
        <v>29</v>
      </c>
    </row>
    <row r="449" spans="1:11" x14ac:dyDescent="0.3">
      <c r="A449" t="s">
        <v>809</v>
      </c>
      <c r="B449" t="s">
        <v>810</v>
      </c>
      <c r="C449" t="s">
        <v>18</v>
      </c>
      <c r="D449" t="s">
        <v>27</v>
      </c>
      <c r="E449">
        <v>8</v>
      </c>
      <c r="F449">
        <v>80</v>
      </c>
      <c r="G449">
        <v>0</v>
      </c>
      <c r="H449">
        <v>640</v>
      </c>
      <c r="I449">
        <v>400</v>
      </c>
      <c r="J449" t="s">
        <v>28</v>
      </c>
      <c r="K449" t="s">
        <v>32</v>
      </c>
    </row>
    <row r="450" spans="1:11" x14ac:dyDescent="0.3">
      <c r="A450" t="s">
        <v>811</v>
      </c>
      <c r="B450" t="s">
        <v>810</v>
      </c>
      <c r="C450" t="s">
        <v>18</v>
      </c>
      <c r="D450" t="s">
        <v>19</v>
      </c>
      <c r="E450">
        <v>3</v>
      </c>
      <c r="F450">
        <v>40</v>
      </c>
      <c r="G450">
        <v>0.05</v>
      </c>
      <c r="H450">
        <v>114</v>
      </c>
      <c r="I450">
        <v>69</v>
      </c>
      <c r="J450" t="s">
        <v>15</v>
      </c>
      <c r="K450" t="s">
        <v>16</v>
      </c>
    </row>
    <row r="451" spans="1:11" x14ac:dyDescent="0.3">
      <c r="A451" t="s">
        <v>812</v>
      </c>
      <c r="B451" t="s">
        <v>813</v>
      </c>
      <c r="C451" t="s">
        <v>13</v>
      </c>
      <c r="D451" t="s">
        <v>41</v>
      </c>
      <c r="E451">
        <v>6</v>
      </c>
      <c r="F451">
        <v>450</v>
      </c>
      <c r="G451">
        <v>0</v>
      </c>
      <c r="H451">
        <v>2700</v>
      </c>
      <c r="I451">
        <v>1980</v>
      </c>
      <c r="J451" t="s">
        <v>15</v>
      </c>
      <c r="K451" t="s">
        <v>29</v>
      </c>
    </row>
    <row r="452" spans="1:11" x14ac:dyDescent="0.3">
      <c r="A452" t="s">
        <v>814</v>
      </c>
      <c r="B452" t="s">
        <v>815</v>
      </c>
      <c r="C452" t="s">
        <v>18</v>
      </c>
      <c r="D452" t="s">
        <v>128</v>
      </c>
      <c r="E452">
        <v>2</v>
      </c>
      <c r="F452">
        <v>350</v>
      </c>
      <c r="G452">
        <v>0</v>
      </c>
      <c r="H452">
        <v>700</v>
      </c>
      <c r="I452">
        <v>520</v>
      </c>
      <c r="J452" t="s">
        <v>28</v>
      </c>
      <c r="K452" t="s">
        <v>32</v>
      </c>
    </row>
    <row r="453" spans="1:11" x14ac:dyDescent="0.3">
      <c r="A453" t="s">
        <v>816</v>
      </c>
      <c r="B453" t="s">
        <v>815</v>
      </c>
      <c r="C453" t="s">
        <v>13</v>
      </c>
      <c r="D453" t="s">
        <v>38</v>
      </c>
      <c r="E453">
        <v>6</v>
      </c>
      <c r="F453">
        <v>150</v>
      </c>
      <c r="G453">
        <v>0</v>
      </c>
      <c r="H453">
        <v>900</v>
      </c>
      <c r="I453">
        <v>660</v>
      </c>
      <c r="J453" t="s">
        <v>44</v>
      </c>
      <c r="K453" t="s">
        <v>16</v>
      </c>
    </row>
    <row r="454" spans="1:11" x14ac:dyDescent="0.3">
      <c r="A454" t="s">
        <v>817</v>
      </c>
      <c r="B454" t="s">
        <v>818</v>
      </c>
      <c r="C454" t="s">
        <v>13</v>
      </c>
      <c r="D454" t="s">
        <v>14</v>
      </c>
      <c r="E454">
        <v>5</v>
      </c>
      <c r="F454">
        <v>110</v>
      </c>
      <c r="G454">
        <v>0</v>
      </c>
      <c r="H454">
        <v>550</v>
      </c>
      <c r="I454">
        <v>400</v>
      </c>
      <c r="J454" t="s">
        <v>44</v>
      </c>
      <c r="K454" t="s">
        <v>29</v>
      </c>
    </row>
    <row r="455" spans="1:11" x14ac:dyDescent="0.3">
      <c r="A455" t="s">
        <v>819</v>
      </c>
      <c r="B455" t="s">
        <v>820</v>
      </c>
      <c r="C455" t="s">
        <v>18</v>
      </c>
      <c r="D455" t="s">
        <v>61</v>
      </c>
      <c r="E455">
        <v>4</v>
      </c>
      <c r="F455">
        <v>25</v>
      </c>
      <c r="G455">
        <v>0.05</v>
      </c>
      <c r="H455">
        <v>95</v>
      </c>
      <c r="I455">
        <v>55</v>
      </c>
      <c r="J455" t="s">
        <v>15</v>
      </c>
      <c r="K455" t="s">
        <v>29</v>
      </c>
    </row>
    <row r="456" spans="1:11" x14ac:dyDescent="0.3">
      <c r="A456" t="s">
        <v>821</v>
      </c>
      <c r="B456" t="s">
        <v>822</v>
      </c>
      <c r="C456" t="s">
        <v>18</v>
      </c>
      <c r="D456" t="s">
        <v>128</v>
      </c>
      <c r="E456">
        <v>4</v>
      </c>
      <c r="F456">
        <v>350</v>
      </c>
      <c r="G456">
        <v>0</v>
      </c>
      <c r="H456">
        <v>1400</v>
      </c>
      <c r="I456">
        <v>1040</v>
      </c>
      <c r="J456" t="s">
        <v>15</v>
      </c>
      <c r="K456" t="s">
        <v>29</v>
      </c>
    </row>
    <row r="457" spans="1:11" x14ac:dyDescent="0.3">
      <c r="A457" t="s">
        <v>823</v>
      </c>
      <c r="B457" t="s">
        <v>822</v>
      </c>
      <c r="C457" t="s">
        <v>18</v>
      </c>
      <c r="D457" t="s">
        <v>27</v>
      </c>
      <c r="E457">
        <v>7</v>
      </c>
      <c r="F457">
        <v>80</v>
      </c>
      <c r="G457">
        <v>0.1</v>
      </c>
      <c r="H457">
        <v>504</v>
      </c>
      <c r="I457">
        <v>294</v>
      </c>
      <c r="J457" t="s">
        <v>44</v>
      </c>
      <c r="K457" t="s">
        <v>16</v>
      </c>
    </row>
    <row r="458" spans="1:11" x14ac:dyDescent="0.3">
      <c r="A458" t="s">
        <v>824</v>
      </c>
      <c r="B458" t="s">
        <v>825</v>
      </c>
      <c r="C458" t="s">
        <v>23</v>
      </c>
      <c r="D458" t="s">
        <v>24</v>
      </c>
      <c r="E458">
        <v>9</v>
      </c>
      <c r="F458">
        <v>10</v>
      </c>
      <c r="G458">
        <v>0.1</v>
      </c>
      <c r="H458">
        <v>81</v>
      </c>
      <c r="I458">
        <v>45</v>
      </c>
      <c r="J458" t="s">
        <v>44</v>
      </c>
      <c r="K458" t="s">
        <v>16</v>
      </c>
    </row>
    <row r="459" spans="1:11" x14ac:dyDescent="0.3">
      <c r="A459" t="s">
        <v>826</v>
      </c>
      <c r="B459" t="s">
        <v>827</v>
      </c>
      <c r="C459" t="s">
        <v>13</v>
      </c>
      <c r="D459" t="s">
        <v>41</v>
      </c>
      <c r="E459">
        <v>2</v>
      </c>
      <c r="F459">
        <v>450</v>
      </c>
      <c r="G459">
        <v>0</v>
      </c>
      <c r="H459">
        <v>900</v>
      </c>
      <c r="I459">
        <v>660</v>
      </c>
      <c r="J459" t="s">
        <v>20</v>
      </c>
      <c r="K459" t="s">
        <v>16</v>
      </c>
    </row>
    <row r="460" spans="1:11" x14ac:dyDescent="0.3">
      <c r="A460" t="s">
        <v>828</v>
      </c>
      <c r="B460" t="s">
        <v>829</v>
      </c>
      <c r="C460" t="s">
        <v>23</v>
      </c>
      <c r="D460" t="s">
        <v>35</v>
      </c>
      <c r="E460">
        <v>6</v>
      </c>
      <c r="F460">
        <v>15</v>
      </c>
      <c r="G460">
        <v>0</v>
      </c>
      <c r="H460">
        <v>90</v>
      </c>
      <c r="I460">
        <v>60</v>
      </c>
      <c r="J460" t="s">
        <v>20</v>
      </c>
      <c r="K460" t="s">
        <v>16</v>
      </c>
    </row>
    <row r="461" spans="1:11" x14ac:dyDescent="0.3">
      <c r="A461" t="s">
        <v>830</v>
      </c>
      <c r="B461" t="s">
        <v>829</v>
      </c>
      <c r="C461" t="s">
        <v>18</v>
      </c>
      <c r="D461" t="s">
        <v>77</v>
      </c>
      <c r="E461">
        <v>3</v>
      </c>
      <c r="F461">
        <v>1200</v>
      </c>
      <c r="G461">
        <v>0.05</v>
      </c>
      <c r="H461">
        <v>3420</v>
      </c>
      <c r="I461">
        <v>2520</v>
      </c>
      <c r="J461" t="s">
        <v>28</v>
      </c>
      <c r="K461" t="s">
        <v>29</v>
      </c>
    </row>
    <row r="462" spans="1:11" x14ac:dyDescent="0.3">
      <c r="A462" t="s">
        <v>831</v>
      </c>
      <c r="B462" t="s">
        <v>832</v>
      </c>
      <c r="C462" t="s">
        <v>23</v>
      </c>
      <c r="D462" t="s">
        <v>58</v>
      </c>
      <c r="E462">
        <v>3</v>
      </c>
      <c r="F462">
        <v>8</v>
      </c>
      <c r="G462">
        <v>0.15</v>
      </c>
      <c r="H462">
        <v>20.399999999999999</v>
      </c>
      <c r="I462">
        <v>11.4</v>
      </c>
      <c r="J462" t="s">
        <v>44</v>
      </c>
      <c r="K462" t="s">
        <v>32</v>
      </c>
    </row>
    <row r="463" spans="1:11" x14ac:dyDescent="0.3">
      <c r="A463" t="s">
        <v>833</v>
      </c>
      <c r="B463" t="s">
        <v>834</v>
      </c>
      <c r="C463" t="s">
        <v>18</v>
      </c>
      <c r="D463" t="s">
        <v>61</v>
      </c>
      <c r="E463">
        <v>7</v>
      </c>
      <c r="F463">
        <v>25</v>
      </c>
      <c r="G463">
        <v>0</v>
      </c>
      <c r="H463">
        <v>175</v>
      </c>
      <c r="I463">
        <v>105</v>
      </c>
      <c r="J463" t="s">
        <v>44</v>
      </c>
      <c r="K463" t="s">
        <v>29</v>
      </c>
    </row>
    <row r="464" spans="1:11" x14ac:dyDescent="0.3">
      <c r="A464" t="s">
        <v>835</v>
      </c>
      <c r="B464" t="s">
        <v>836</v>
      </c>
      <c r="C464" t="s">
        <v>23</v>
      </c>
      <c r="D464" t="s">
        <v>24</v>
      </c>
      <c r="E464">
        <v>7</v>
      </c>
      <c r="F464">
        <v>10</v>
      </c>
      <c r="G464">
        <v>0</v>
      </c>
      <c r="H464">
        <v>70</v>
      </c>
      <c r="I464">
        <v>42</v>
      </c>
      <c r="J464" t="s">
        <v>28</v>
      </c>
      <c r="K464" t="s">
        <v>16</v>
      </c>
    </row>
    <row r="465" spans="1:11" x14ac:dyDescent="0.3">
      <c r="A465" t="s">
        <v>837</v>
      </c>
      <c r="B465" t="s">
        <v>836</v>
      </c>
      <c r="C465" t="s">
        <v>18</v>
      </c>
      <c r="D465" t="s">
        <v>27</v>
      </c>
      <c r="E465">
        <v>1</v>
      </c>
      <c r="F465">
        <v>80</v>
      </c>
      <c r="G465">
        <v>0.05</v>
      </c>
      <c r="H465">
        <v>76</v>
      </c>
      <c r="I465">
        <v>46</v>
      </c>
      <c r="J465" t="s">
        <v>28</v>
      </c>
      <c r="K465" t="s">
        <v>16</v>
      </c>
    </row>
    <row r="466" spans="1:11" x14ac:dyDescent="0.3">
      <c r="A466" t="s">
        <v>838</v>
      </c>
      <c r="B466" t="s">
        <v>839</v>
      </c>
      <c r="C466" t="s">
        <v>13</v>
      </c>
      <c r="D466" t="s">
        <v>38</v>
      </c>
      <c r="E466">
        <v>5</v>
      </c>
      <c r="F466">
        <v>150</v>
      </c>
      <c r="G466">
        <v>0</v>
      </c>
      <c r="H466">
        <v>750</v>
      </c>
      <c r="I466">
        <v>550</v>
      </c>
      <c r="J466" t="s">
        <v>44</v>
      </c>
      <c r="K466" t="s">
        <v>32</v>
      </c>
    </row>
    <row r="467" spans="1:11" x14ac:dyDescent="0.3">
      <c r="A467" t="s">
        <v>840</v>
      </c>
      <c r="B467" t="s">
        <v>841</v>
      </c>
      <c r="C467" t="s">
        <v>13</v>
      </c>
      <c r="D467" t="s">
        <v>51</v>
      </c>
      <c r="E467">
        <v>3</v>
      </c>
      <c r="F467">
        <v>250</v>
      </c>
      <c r="G467">
        <v>0</v>
      </c>
      <c r="H467">
        <v>750</v>
      </c>
      <c r="I467">
        <v>540</v>
      </c>
      <c r="J467" t="s">
        <v>15</v>
      </c>
      <c r="K467" t="s">
        <v>16</v>
      </c>
    </row>
    <row r="468" spans="1:11" x14ac:dyDescent="0.3">
      <c r="A468" t="s">
        <v>842</v>
      </c>
      <c r="B468" t="s">
        <v>841</v>
      </c>
      <c r="C468" t="s">
        <v>13</v>
      </c>
      <c r="D468" t="s">
        <v>67</v>
      </c>
      <c r="E468">
        <v>7</v>
      </c>
      <c r="F468">
        <v>35</v>
      </c>
      <c r="G468">
        <v>0.1</v>
      </c>
      <c r="H468">
        <v>220.5</v>
      </c>
      <c r="I468">
        <v>136.5</v>
      </c>
      <c r="J468" t="s">
        <v>44</v>
      </c>
      <c r="K468" t="s">
        <v>32</v>
      </c>
    </row>
    <row r="469" spans="1:11" x14ac:dyDescent="0.3">
      <c r="A469" t="s">
        <v>843</v>
      </c>
      <c r="B469" t="s">
        <v>844</v>
      </c>
      <c r="C469" t="s">
        <v>23</v>
      </c>
      <c r="D469" t="s">
        <v>35</v>
      </c>
      <c r="E469">
        <v>9</v>
      </c>
      <c r="F469">
        <v>15</v>
      </c>
      <c r="G469">
        <v>0.15</v>
      </c>
      <c r="H469">
        <v>114.75</v>
      </c>
      <c r="I469">
        <v>69.75</v>
      </c>
      <c r="J469" t="s">
        <v>20</v>
      </c>
      <c r="K469" t="s">
        <v>29</v>
      </c>
    </row>
    <row r="470" spans="1:11" x14ac:dyDescent="0.3">
      <c r="A470" t="s">
        <v>845</v>
      </c>
      <c r="B470" t="s">
        <v>846</v>
      </c>
      <c r="C470" t="s">
        <v>23</v>
      </c>
      <c r="D470" t="s">
        <v>31</v>
      </c>
      <c r="E470">
        <v>2</v>
      </c>
      <c r="F470">
        <v>25</v>
      </c>
      <c r="G470">
        <v>0</v>
      </c>
      <c r="H470">
        <v>50</v>
      </c>
      <c r="I470">
        <v>34</v>
      </c>
      <c r="J470" t="s">
        <v>28</v>
      </c>
      <c r="K470" t="s">
        <v>16</v>
      </c>
    </row>
    <row r="471" spans="1:11" x14ac:dyDescent="0.3">
      <c r="A471" t="s">
        <v>847</v>
      </c>
      <c r="B471" t="s">
        <v>848</v>
      </c>
      <c r="C471" t="s">
        <v>23</v>
      </c>
      <c r="D471" t="s">
        <v>43</v>
      </c>
      <c r="E471">
        <v>5</v>
      </c>
      <c r="F471">
        <v>20</v>
      </c>
      <c r="G471">
        <v>0.05</v>
      </c>
      <c r="H471">
        <v>95</v>
      </c>
      <c r="I471">
        <v>60</v>
      </c>
      <c r="J471" t="s">
        <v>44</v>
      </c>
      <c r="K471" t="s">
        <v>29</v>
      </c>
    </row>
    <row r="472" spans="1:11" x14ac:dyDescent="0.3">
      <c r="A472" t="s">
        <v>849</v>
      </c>
      <c r="B472" t="s">
        <v>848</v>
      </c>
      <c r="C472" t="s">
        <v>18</v>
      </c>
      <c r="D472" t="s">
        <v>27</v>
      </c>
      <c r="E472">
        <v>3</v>
      </c>
      <c r="F472">
        <v>80</v>
      </c>
      <c r="G472">
        <v>0.05</v>
      </c>
      <c r="H472">
        <v>228</v>
      </c>
      <c r="I472">
        <v>138</v>
      </c>
      <c r="J472" t="s">
        <v>28</v>
      </c>
      <c r="K472" t="s">
        <v>29</v>
      </c>
    </row>
    <row r="473" spans="1:11" x14ac:dyDescent="0.3">
      <c r="A473" t="s">
        <v>850</v>
      </c>
      <c r="B473" t="s">
        <v>851</v>
      </c>
      <c r="C473" t="s">
        <v>13</v>
      </c>
      <c r="D473" t="s">
        <v>14</v>
      </c>
      <c r="E473">
        <v>5</v>
      </c>
      <c r="F473">
        <v>110</v>
      </c>
      <c r="G473">
        <v>0.15</v>
      </c>
      <c r="H473">
        <v>467.5</v>
      </c>
      <c r="I473">
        <v>317.5</v>
      </c>
      <c r="J473" t="s">
        <v>28</v>
      </c>
      <c r="K473" t="s">
        <v>29</v>
      </c>
    </row>
    <row r="474" spans="1:11" x14ac:dyDescent="0.3">
      <c r="A474" t="s">
        <v>852</v>
      </c>
      <c r="B474" t="s">
        <v>853</v>
      </c>
      <c r="C474" t="s">
        <v>23</v>
      </c>
      <c r="D474" t="s">
        <v>58</v>
      </c>
      <c r="E474">
        <v>9</v>
      </c>
      <c r="F474">
        <v>8</v>
      </c>
      <c r="G474">
        <v>0.1</v>
      </c>
      <c r="H474">
        <v>64.8</v>
      </c>
      <c r="I474">
        <v>37.799999999999997</v>
      </c>
      <c r="J474" t="s">
        <v>44</v>
      </c>
      <c r="K474" t="s">
        <v>32</v>
      </c>
    </row>
    <row r="475" spans="1:11" x14ac:dyDescent="0.3">
      <c r="A475" t="s">
        <v>854</v>
      </c>
      <c r="B475" t="s">
        <v>855</v>
      </c>
      <c r="C475" t="s">
        <v>18</v>
      </c>
      <c r="D475" t="s">
        <v>19</v>
      </c>
      <c r="E475">
        <v>9</v>
      </c>
      <c r="F475">
        <v>40</v>
      </c>
      <c r="G475">
        <v>0.2</v>
      </c>
      <c r="H475">
        <v>288</v>
      </c>
      <c r="I475">
        <v>153</v>
      </c>
      <c r="J475" t="s">
        <v>44</v>
      </c>
      <c r="K475" t="s">
        <v>29</v>
      </c>
    </row>
    <row r="476" spans="1:11" x14ac:dyDescent="0.3">
      <c r="A476" t="s">
        <v>856</v>
      </c>
      <c r="B476" t="s">
        <v>855</v>
      </c>
      <c r="C476" t="s">
        <v>18</v>
      </c>
      <c r="D476" t="s">
        <v>128</v>
      </c>
      <c r="E476">
        <v>1</v>
      </c>
      <c r="F476">
        <v>350</v>
      </c>
      <c r="G476">
        <v>0.05</v>
      </c>
      <c r="H476">
        <v>332.5</v>
      </c>
      <c r="I476">
        <v>242.5</v>
      </c>
      <c r="J476" t="s">
        <v>28</v>
      </c>
      <c r="K476" t="s">
        <v>16</v>
      </c>
    </row>
    <row r="477" spans="1:11" x14ac:dyDescent="0.3">
      <c r="A477" t="s">
        <v>857</v>
      </c>
      <c r="B477" t="s">
        <v>858</v>
      </c>
      <c r="C477" t="s">
        <v>18</v>
      </c>
      <c r="D477" t="s">
        <v>27</v>
      </c>
      <c r="E477">
        <v>9</v>
      </c>
      <c r="F477">
        <v>80</v>
      </c>
      <c r="G477">
        <v>0</v>
      </c>
      <c r="H477">
        <v>720</v>
      </c>
      <c r="I477">
        <v>450</v>
      </c>
      <c r="J477" t="s">
        <v>15</v>
      </c>
      <c r="K477" t="s">
        <v>16</v>
      </c>
    </row>
    <row r="478" spans="1:11" x14ac:dyDescent="0.3">
      <c r="A478" t="s">
        <v>859</v>
      </c>
      <c r="B478" t="s">
        <v>860</v>
      </c>
      <c r="C478" t="s">
        <v>18</v>
      </c>
      <c r="D478" t="s">
        <v>77</v>
      </c>
      <c r="E478">
        <v>7</v>
      </c>
      <c r="F478">
        <v>1200</v>
      </c>
      <c r="G478">
        <v>0.05</v>
      </c>
      <c r="H478">
        <v>7980</v>
      </c>
      <c r="I478">
        <v>5880</v>
      </c>
      <c r="J478" t="s">
        <v>44</v>
      </c>
      <c r="K478" t="s">
        <v>16</v>
      </c>
    </row>
    <row r="479" spans="1:11" x14ac:dyDescent="0.3">
      <c r="A479" t="s">
        <v>861</v>
      </c>
      <c r="B479" t="s">
        <v>860</v>
      </c>
      <c r="C479" t="s">
        <v>18</v>
      </c>
      <c r="D479" t="s">
        <v>27</v>
      </c>
      <c r="E479">
        <v>5</v>
      </c>
      <c r="F479">
        <v>80</v>
      </c>
      <c r="G479">
        <v>0.05</v>
      </c>
      <c r="H479">
        <v>380</v>
      </c>
      <c r="I479">
        <v>230</v>
      </c>
      <c r="J479" t="s">
        <v>28</v>
      </c>
      <c r="K479" t="s">
        <v>32</v>
      </c>
    </row>
    <row r="480" spans="1:11" x14ac:dyDescent="0.3">
      <c r="A480" t="s">
        <v>862</v>
      </c>
      <c r="B480" t="s">
        <v>863</v>
      </c>
      <c r="C480" t="s">
        <v>18</v>
      </c>
      <c r="D480" t="s">
        <v>27</v>
      </c>
      <c r="E480">
        <v>8</v>
      </c>
      <c r="F480">
        <v>80</v>
      </c>
      <c r="G480">
        <v>0.1</v>
      </c>
      <c r="H480">
        <v>576</v>
      </c>
      <c r="I480">
        <v>336</v>
      </c>
      <c r="J480" t="s">
        <v>20</v>
      </c>
      <c r="K480" t="s">
        <v>29</v>
      </c>
    </row>
    <row r="481" spans="1:11" x14ac:dyDescent="0.3">
      <c r="A481" t="s">
        <v>864</v>
      </c>
      <c r="B481" t="s">
        <v>865</v>
      </c>
      <c r="C481" t="s">
        <v>13</v>
      </c>
      <c r="D481" t="s">
        <v>67</v>
      </c>
      <c r="E481">
        <v>8</v>
      </c>
      <c r="F481">
        <v>35</v>
      </c>
      <c r="G481">
        <v>0</v>
      </c>
      <c r="H481">
        <v>280</v>
      </c>
      <c r="I481">
        <v>184</v>
      </c>
      <c r="J481" t="s">
        <v>15</v>
      </c>
      <c r="K481" t="s">
        <v>16</v>
      </c>
    </row>
    <row r="482" spans="1:11" x14ac:dyDescent="0.3">
      <c r="A482" t="s">
        <v>866</v>
      </c>
      <c r="B482" t="s">
        <v>867</v>
      </c>
      <c r="C482" t="s">
        <v>13</v>
      </c>
      <c r="D482" t="s">
        <v>67</v>
      </c>
      <c r="E482">
        <v>7</v>
      </c>
      <c r="F482">
        <v>35</v>
      </c>
      <c r="G482">
        <v>0.05</v>
      </c>
      <c r="H482">
        <v>232.75</v>
      </c>
      <c r="I482">
        <v>148.75</v>
      </c>
      <c r="J482" t="s">
        <v>20</v>
      </c>
      <c r="K482" t="s">
        <v>32</v>
      </c>
    </row>
    <row r="483" spans="1:11" x14ac:dyDescent="0.3">
      <c r="A483" t="s">
        <v>868</v>
      </c>
      <c r="B483" t="s">
        <v>867</v>
      </c>
      <c r="C483" t="s">
        <v>18</v>
      </c>
      <c r="D483" t="s">
        <v>128</v>
      </c>
      <c r="E483">
        <v>2</v>
      </c>
      <c r="F483">
        <v>350</v>
      </c>
      <c r="G483">
        <v>0.05</v>
      </c>
      <c r="H483">
        <v>665</v>
      </c>
      <c r="I483">
        <v>485</v>
      </c>
      <c r="J483" t="s">
        <v>20</v>
      </c>
      <c r="K483" t="s">
        <v>29</v>
      </c>
    </row>
    <row r="484" spans="1:11" x14ac:dyDescent="0.3">
      <c r="A484" t="s">
        <v>869</v>
      </c>
      <c r="B484" t="s">
        <v>870</v>
      </c>
      <c r="C484" t="s">
        <v>18</v>
      </c>
      <c r="D484" t="s">
        <v>61</v>
      </c>
      <c r="E484">
        <v>7</v>
      </c>
      <c r="F484">
        <v>25</v>
      </c>
      <c r="G484">
        <v>0</v>
      </c>
      <c r="H484">
        <v>175</v>
      </c>
      <c r="I484">
        <v>105</v>
      </c>
      <c r="J484" t="s">
        <v>20</v>
      </c>
      <c r="K484" t="s">
        <v>29</v>
      </c>
    </row>
    <row r="485" spans="1:11" x14ac:dyDescent="0.3">
      <c r="A485" t="s">
        <v>871</v>
      </c>
      <c r="B485" t="s">
        <v>872</v>
      </c>
      <c r="C485" t="s">
        <v>13</v>
      </c>
      <c r="D485" t="s">
        <v>38</v>
      </c>
      <c r="E485">
        <v>5</v>
      </c>
      <c r="F485">
        <v>150</v>
      </c>
      <c r="G485">
        <v>0.05</v>
      </c>
      <c r="H485">
        <v>712.5</v>
      </c>
      <c r="I485">
        <v>512.5</v>
      </c>
      <c r="J485" t="s">
        <v>28</v>
      </c>
      <c r="K485" t="s">
        <v>16</v>
      </c>
    </row>
    <row r="486" spans="1:11" x14ac:dyDescent="0.3">
      <c r="A486" t="s">
        <v>873</v>
      </c>
      <c r="B486" t="s">
        <v>874</v>
      </c>
      <c r="C486" t="s">
        <v>13</v>
      </c>
      <c r="D486" t="s">
        <v>51</v>
      </c>
      <c r="E486">
        <v>1</v>
      </c>
      <c r="F486">
        <v>250</v>
      </c>
      <c r="G486">
        <v>0.15</v>
      </c>
      <c r="H486">
        <v>212.5</v>
      </c>
      <c r="I486">
        <v>142.5</v>
      </c>
      <c r="J486" t="s">
        <v>44</v>
      </c>
      <c r="K486" t="s">
        <v>29</v>
      </c>
    </row>
    <row r="487" spans="1:11" x14ac:dyDescent="0.3">
      <c r="A487" t="s">
        <v>875</v>
      </c>
      <c r="B487" t="s">
        <v>874</v>
      </c>
      <c r="C487" t="s">
        <v>13</v>
      </c>
      <c r="D487" t="s">
        <v>51</v>
      </c>
      <c r="E487">
        <v>2</v>
      </c>
      <c r="F487">
        <v>250</v>
      </c>
      <c r="G487">
        <v>0.05</v>
      </c>
      <c r="H487">
        <v>475</v>
      </c>
      <c r="I487">
        <v>335</v>
      </c>
      <c r="J487" t="s">
        <v>28</v>
      </c>
      <c r="K487" t="s">
        <v>29</v>
      </c>
    </row>
    <row r="488" spans="1:11" x14ac:dyDescent="0.3">
      <c r="A488" t="s">
        <v>876</v>
      </c>
      <c r="B488" t="s">
        <v>877</v>
      </c>
      <c r="C488" t="s">
        <v>18</v>
      </c>
      <c r="D488" t="s">
        <v>77</v>
      </c>
      <c r="E488">
        <v>2</v>
      </c>
      <c r="F488">
        <v>1200</v>
      </c>
      <c r="G488">
        <v>0</v>
      </c>
      <c r="H488">
        <v>2400</v>
      </c>
      <c r="I488">
        <v>1800</v>
      </c>
      <c r="J488" t="s">
        <v>20</v>
      </c>
      <c r="K488" t="s">
        <v>16</v>
      </c>
    </row>
    <row r="489" spans="1:11" x14ac:dyDescent="0.3">
      <c r="A489" t="s">
        <v>878</v>
      </c>
      <c r="B489" t="s">
        <v>879</v>
      </c>
      <c r="C489" t="s">
        <v>23</v>
      </c>
      <c r="D489" t="s">
        <v>31</v>
      </c>
      <c r="E489">
        <v>6</v>
      </c>
      <c r="F489">
        <v>25</v>
      </c>
      <c r="G489">
        <v>0</v>
      </c>
      <c r="H489">
        <v>150</v>
      </c>
      <c r="I489">
        <v>102</v>
      </c>
      <c r="J489" t="s">
        <v>28</v>
      </c>
      <c r="K489" t="s">
        <v>29</v>
      </c>
    </row>
    <row r="490" spans="1:11" x14ac:dyDescent="0.3">
      <c r="A490" t="s">
        <v>880</v>
      </c>
      <c r="B490" t="s">
        <v>879</v>
      </c>
      <c r="C490" t="s">
        <v>13</v>
      </c>
      <c r="D490" t="s">
        <v>14</v>
      </c>
      <c r="E490">
        <v>3</v>
      </c>
      <c r="F490">
        <v>110</v>
      </c>
      <c r="G490">
        <v>0</v>
      </c>
      <c r="H490">
        <v>330</v>
      </c>
      <c r="I490">
        <v>240</v>
      </c>
      <c r="J490" t="s">
        <v>44</v>
      </c>
      <c r="K490" t="s">
        <v>16</v>
      </c>
    </row>
    <row r="491" spans="1:11" x14ac:dyDescent="0.3">
      <c r="A491" t="s">
        <v>881</v>
      </c>
      <c r="B491" t="s">
        <v>882</v>
      </c>
      <c r="C491" t="s">
        <v>18</v>
      </c>
      <c r="D491" t="s">
        <v>77</v>
      </c>
      <c r="E491">
        <v>1</v>
      </c>
      <c r="F491">
        <v>1200</v>
      </c>
      <c r="G491">
        <v>0.2</v>
      </c>
      <c r="H491">
        <v>960</v>
      </c>
      <c r="I491">
        <v>660</v>
      </c>
      <c r="J491" t="s">
        <v>20</v>
      </c>
      <c r="K491" t="s">
        <v>32</v>
      </c>
    </row>
    <row r="492" spans="1:11" x14ac:dyDescent="0.3">
      <c r="A492" t="s">
        <v>883</v>
      </c>
      <c r="B492" t="s">
        <v>884</v>
      </c>
      <c r="C492" t="s">
        <v>18</v>
      </c>
      <c r="D492" t="s">
        <v>77</v>
      </c>
      <c r="E492">
        <v>4</v>
      </c>
      <c r="F492">
        <v>1200</v>
      </c>
      <c r="G492">
        <v>0.2</v>
      </c>
      <c r="H492">
        <v>3840</v>
      </c>
      <c r="I492">
        <v>2640</v>
      </c>
      <c r="J492" t="s">
        <v>28</v>
      </c>
      <c r="K492" t="s">
        <v>29</v>
      </c>
    </row>
    <row r="493" spans="1:11" x14ac:dyDescent="0.3">
      <c r="A493" t="s">
        <v>885</v>
      </c>
      <c r="B493" t="s">
        <v>886</v>
      </c>
      <c r="C493" t="s">
        <v>23</v>
      </c>
      <c r="D493" t="s">
        <v>35</v>
      </c>
      <c r="E493">
        <v>5</v>
      </c>
      <c r="F493">
        <v>15</v>
      </c>
      <c r="G493">
        <v>0</v>
      </c>
      <c r="H493">
        <v>75</v>
      </c>
      <c r="I493">
        <v>50</v>
      </c>
      <c r="J493" t="s">
        <v>20</v>
      </c>
      <c r="K493" t="s">
        <v>16</v>
      </c>
    </row>
    <row r="494" spans="1:11" x14ac:dyDescent="0.3">
      <c r="A494" t="s">
        <v>887</v>
      </c>
      <c r="B494" t="s">
        <v>886</v>
      </c>
      <c r="C494" t="s">
        <v>13</v>
      </c>
      <c r="D494" t="s">
        <v>41</v>
      </c>
      <c r="E494">
        <v>6</v>
      </c>
      <c r="F494">
        <v>450</v>
      </c>
      <c r="G494">
        <v>0</v>
      </c>
      <c r="H494">
        <v>2700</v>
      </c>
      <c r="I494">
        <v>1980</v>
      </c>
      <c r="J494" t="s">
        <v>20</v>
      </c>
      <c r="K494" t="s">
        <v>32</v>
      </c>
    </row>
    <row r="495" spans="1:11" x14ac:dyDescent="0.3">
      <c r="A495" t="s">
        <v>888</v>
      </c>
      <c r="B495" t="s">
        <v>889</v>
      </c>
      <c r="C495" t="s">
        <v>23</v>
      </c>
      <c r="D495" t="s">
        <v>58</v>
      </c>
      <c r="E495">
        <v>5</v>
      </c>
      <c r="F495">
        <v>8</v>
      </c>
      <c r="G495">
        <v>0.2</v>
      </c>
      <c r="H495">
        <v>32</v>
      </c>
      <c r="I495">
        <v>17</v>
      </c>
      <c r="J495" t="s">
        <v>28</v>
      </c>
      <c r="K495" t="s">
        <v>16</v>
      </c>
    </row>
    <row r="496" spans="1:11" x14ac:dyDescent="0.3">
      <c r="A496" t="s">
        <v>890</v>
      </c>
      <c r="B496" t="s">
        <v>891</v>
      </c>
      <c r="C496" t="s">
        <v>23</v>
      </c>
      <c r="D496" t="s">
        <v>43</v>
      </c>
      <c r="E496">
        <v>1</v>
      </c>
      <c r="F496">
        <v>20</v>
      </c>
      <c r="G496">
        <v>0</v>
      </c>
      <c r="H496">
        <v>20</v>
      </c>
      <c r="I496">
        <v>13</v>
      </c>
      <c r="J496" t="s">
        <v>20</v>
      </c>
      <c r="K496" t="s">
        <v>32</v>
      </c>
    </row>
    <row r="497" spans="1:11" x14ac:dyDescent="0.3">
      <c r="A497" t="s">
        <v>892</v>
      </c>
      <c r="B497" t="s">
        <v>893</v>
      </c>
      <c r="C497" t="s">
        <v>23</v>
      </c>
      <c r="D497" t="s">
        <v>31</v>
      </c>
      <c r="E497">
        <v>6</v>
      </c>
      <c r="F497">
        <v>25</v>
      </c>
      <c r="G497">
        <v>0.05</v>
      </c>
      <c r="H497">
        <v>142.5</v>
      </c>
      <c r="I497">
        <v>94.5</v>
      </c>
      <c r="J497" t="s">
        <v>28</v>
      </c>
      <c r="K497" t="s">
        <v>29</v>
      </c>
    </row>
    <row r="498" spans="1:11" x14ac:dyDescent="0.3">
      <c r="A498" t="s">
        <v>894</v>
      </c>
      <c r="B498" t="s">
        <v>893</v>
      </c>
      <c r="C498" t="s">
        <v>13</v>
      </c>
      <c r="D498" t="s">
        <v>67</v>
      </c>
      <c r="E498">
        <v>5</v>
      </c>
      <c r="F498">
        <v>35</v>
      </c>
      <c r="G498">
        <v>0</v>
      </c>
      <c r="H498">
        <v>175</v>
      </c>
      <c r="I498">
        <v>115</v>
      </c>
      <c r="J498" t="s">
        <v>44</v>
      </c>
      <c r="K498" t="s">
        <v>32</v>
      </c>
    </row>
    <row r="499" spans="1:11" x14ac:dyDescent="0.3">
      <c r="A499" t="s">
        <v>895</v>
      </c>
      <c r="B499" t="s">
        <v>896</v>
      </c>
      <c r="C499" t="s">
        <v>23</v>
      </c>
      <c r="D499" t="s">
        <v>58</v>
      </c>
      <c r="E499">
        <v>6</v>
      </c>
      <c r="F499">
        <v>8</v>
      </c>
      <c r="G499">
        <v>0</v>
      </c>
      <c r="H499">
        <v>48</v>
      </c>
      <c r="I499">
        <v>30</v>
      </c>
      <c r="J499" t="s">
        <v>15</v>
      </c>
      <c r="K499" t="s">
        <v>29</v>
      </c>
    </row>
    <row r="500" spans="1:11" x14ac:dyDescent="0.3">
      <c r="A500" t="s">
        <v>897</v>
      </c>
      <c r="B500" t="s">
        <v>898</v>
      </c>
      <c r="C500" t="s">
        <v>23</v>
      </c>
      <c r="D500" t="s">
        <v>24</v>
      </c>
      <c r="E500">
        <v>4</v>
      </c>
      <c r="F500">
        <v>10</v>
      </c>
      <c r="G500">
        <v>0</v>
      </c>
      <c r="H500">
        <v>40</v>
      </c>
      <c r="I500">
        <v>24</v>
      </c>
      <c r="J500" t="s">
        <v>44</v>
      </c>
      <c r="K500" t="s">
        <v>32</v>
      </c>
    </row>
    <row r="501" spans="1:11" x14ac:dyDescent="0.3">
      <c r="A501" t="s">
        <v>899</v>
      </c>
      <c r="B501" t="s">
        <v>900</v>
      </c>
      <c r="C501" t="s">
        <v>23</v>
      </c>
      <c r="D501" t="s">
        <v>35</v>
      </c>
      <c r="E501">
        <v>7</v>
      </c>
      <c r="F501">
        <v>15</v>
      </c>
      <c r="G501">
        <v>0</v>
      </c>
      <c r="H501">
        <v>105</v>
      </c>
      <c r="I501">
        <v>70</v>
      </c>
      <c r="J501" t="s">
        <v>44</v>
      </c>
      <c r="K501" t="s">
        <v>29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4882-3F73-4502-835F-14BAB27DECFC}">
  <dimension ref="A1:M501"/>
  <sheetViews>
    <sheetView workbookViewId="0"/>
  </sheetViews>
  <sheetFormatPr defaultRowHeight="14.4" x14ac:dyDescent="0.3"/>
  <cols>
    <col min="2" max="2" width="8.88671875" style="3"/>
    <col min="6" max="6" width="9.44140625" style="5" bestFit="1" customWidth="1"/>
    <col min="7" max="7" width="8.88671875" style="9"/>
    <col min="8" max="9" width="9.44140625" style="5" bestFit="1" customWidth="1"/>
    <col min="13" max="13" width="8.88671875" style="9"/>
  </cols>
  <sheetData>
    <row r="1" spans="1:13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8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7" t="s">
        <v>902</v>
      </c>
      <c r="M1" s="10" t="s">
        <v>903</v>
      </c>
    </row>
    <row r="2" spans="1:13" x14ac:dyDescent="0.3">
      <c r="A2" t="s">
        <v>11</v>
      </c>
      <c r="B2" s="3" t="s">
        <v>12</v>
      </c>
      <c r="C2" t="s">
        <v>13</v>
      </c>
      <c r="D2" t="s">
        <v>14</v>
      </c>
      <c r="E2">
        <v>8</v>
      </c>
      <c r="F2" s="5">
        <v>110</v>
      </c>
      <c r="G2" s="9">
        <v>0.05</v>
      </c>
      <c r="H2" s="5">
        <v>836</v>
      </c>
      <c r="I2" s="5">
        <v>596</v>
      </c>
      <c r="J2" t="s">
        <v>15</v>
      </c>
      <c r="K2" t="s">
        <v>16</v>
      </c>
      <c r="L2" t="str">
        <f>TEXT(B2, "YYYY-MM")</f>
        <v>2025-01</v>
      </c>
      <c r="M2" s="9">
        <f>I2/H2</f>
        <v>0.71291866028708128</v>
      </c>
    </row>
    <row r="3" spans="1:13" x14ac:dyDescent="0.3">
      <c r="A3" t="s">
        <v>17</v>
      </c>
      <c r="B3" s="3" t="s">
        <v>12</v>
      </c>
      <c r="C3" t="s">
        <v>18</v>
      </c>
      <c r="D3" t="s">
        <v>19</v>
      </c>
      <c r="E3">
        <v>4</v>
      </c>
      <c r="F3" s="5">
        <v>40</v>
      </c>
      <c r="G3" s="9">
        <v>0</v>
      </c>
      <c r="H3" s="5">
        <v>160</v>
      </c>
      <c r="I3" s="5">
        <v>100</v>
      </c>
      <c r="J3" t="s">
        <v>20</v>
      </c>
      <c r="K3" t="s">
        <v>16</v>
      </c>
      <c r="L3" t="str">
        <f t="shared" ref="L3:L66" si="0">TEXT(B3, "YYYY-MM")</f>
        <v>2025-01</v>
      </c>
      <c r="M3" s="9">
        <f t="shared" ref="M3:M66" si="1">I3/H3</f>
        <v>0.625</v>
      </c>
    </row>
    <row r="4" spans="1:13" x14ac:dyDescent="0.3">
      <c r="A4" t="s">
        <v>21</v>
      </c>
      <c r="B4" s="3" t="s">
        <v>22</v>
      </c>
      <c r="C4" t="s">
        <v>23</v>
      </c>
      <c r="D4" t="s">
        <v>24</v>
      </c>
      <c r="E4">
        <v>5</v>
      </c>
      <c r="F4" s="5">
        <v>10</v>
      </c>
      <c r="G4" s="9">
        <v>0.05</v>
      </c>
      <c r="H4" s="5">
        <v>47.5</v>
      </c>
      <c r="I4" s="5">
        <v>27.5</v>
      </c>
      <c r="J4" t="s">
        <v>20</v>
      </c>
      <c r="K4" t="s">
        <v>16</v>
      </c>
      <c r="L4" t="str">
        <f t="shared" si="0"/>
        <v>2025-01</v>
      </c>
      <c r="M4" s="9">
        <f t="shared" si="1"/>
        <v>0.57894736842105265</v>
      </c>
    </row>
    <row r="5" spans="1:13" x14ac:dyDescent="0.3">
      <c r="A5" t="s">
        <v>25</v>
      </c>
      <c r="B5" s="3" t="s">
        <v>26</v>
      </c>
      <c r="C5" t="s">
        <v>18</v>
      </c>
      <c r="D5" t="s">
        <v>27</v>
      </c>
      <c r="E5">
        <v>3</v>
      </c>
      <c r="F5" s="5">
        <v>80</v>
      </c>
      <c r="G5" s="9">
        <v>0</v>
      </c>
      <c r="H5" s="5">
        <v>240</v>
      </c>
      <c r="I5" s="5">
        <v>150</v>
      </c>
      <c r="J5" t="s">
        <v>28</v>
      </c>
      <c r="K5" t="s">
        <v>29</v>
      </c>
      <c r="L5" t="str">
        <f t="shared" si="0"/>
        <v>2025-01</v>
      </c>
      <c r="M5" s="9">
        <f t="shared" si="1"/>
        <v>0.625</v>
      </c>
    </row>
    <row r="6" spans="1:13" x14ac:dyDescent="0.3">
      <c r="A6" t="s">
        <v>30</v>
      </c>
      <c r="B6" s="3" t="s">
        <v>26</v>
      </c>
      <c r="C6" t="s">
        <v>23</v>
      </c>
      <c r="D6" t="s">
        <v>31</v>
      </c>
      <c r="E6">
        <v>9</v>
      </c>
      <c r="F6" s="5">
        <v>25</v>
      </c>
      <c r="G6" s="9">
        <v>0</v>
      </c>
      <c r="H6" s="5">
        <v>225</v>
      </c>
      <c r="I6" s="5">
        <v>153</v>
      </c>
      <c r="J6" t="s">
        <v>28</v>
      </c>
      <c r="K6" t="s">
        <v>32</v>
      </c>
      <c r="L6" t="str">
        <f t="shared" si="0"/>
        <v>2025-01</v>
      </c>
      <c r="M6" s="9">
        <f t="shared" si="1"/>
        <v>0.68</v>
      </c>
    </row>
    <row r="7" spans="1:13" x14ac:dyDescent="0.3">
      <c r="A7" t="s">
        <v>33</v>
      </c>
      <c r="B7" s="3" t="s">
        <v>34</v>
      </c>
      <c r="C7" t="s">
        <v>23</v>
      </c>
      <c r="D7" t="s">
        <v>35</v>
      </c>
      <c r="E7">
        <v>5</v>
      </c>
      <c r="F7" s="5">
        <v>15</v>
      </c>
      <c r="G7" s="9">
        <v>0</v>
      </c>
      <c r="H7" s="5">
        <v>75</v>
      </c>
      <c r="I7" s="5">
        <v>50</v>
      </c>
      <c r="J7" t="s">
        <v>15</v>
      </c>
      <c r="K7" t="s">
        <v>29</v>
      </c>
      <c r="L7" t="str">
        <f t="shared" si="0"/>
        <v>2025-01</v>
      </c>
      <c r="M7" s="9">
        <f t="shared" si="1"/>
        <v>0.66666666666666663</v>
      </c>
    </row>
    <row r="8" spans="1:13" x14ac:dyDescent="0.3">
      <c r="A8" t="s">
        <v>36</v>
      </c>
      <c r="B8" s="3" t="s">
        <v>37</v>
      </c>
      <c r="C8" t="s">
        <v>13</v>
      </c>
      <c r="D8" t="s">
        <v>38</v>
      </c>
      <c r="E8">
        <v>1</v>
      </c>
      <c r="F8" s="5">
        <v>150</v>
      </c>
      <c r="G8" s="9">
        <v>0</v>
      </c>
      <c r="H8" s="5">
        <v>150</v>
      </c>
      <c r="I8" s="5">
        <v>110</v>
      </c>
      <c r="J8" t="s">
        <v>20</v>
      </c>
      <c r="K8" t="s">
        <v>16</v>
      </c>
      <c r="L8" t="str">
        <f t="shared" si="0"/>
        <v>2025-01</v>
      </c>
      <c r="M8" s="9">
        <f t="shared" si="1"/>
        <v>0.73333333333333328</v>
      </c>
    </row>
    <row r="9" spans="1:13" x14ac:dyDescent="0.3">
      <c r="A9" t="s">
        <v>39</v>
      </c>
      <c r="B9" s="3" t="s">
        <v>40</v>
      </c>
      <c r="C9" t="s">
        <v>13</v>
      </c>
      <c r="D9" t="s">
        <v>41</v>
      </c>
      <c r="E9">
        <v>4</v>
      </c>
      <c r="F9" s="5">
        <v>450</v>
      </c>
      <c r="G9" s="9">
        <v>0</v>
      </c>
      <c r="H9" s="5">
        <v>1800</v>
      </c>
      <c r="I9" s="5">
        <v>1320</v>
      </c>
      <c r="J9" t="s">
        <v>28</v>
      </c>
      <c r="K9" t="s">
        <v>29</v>
      </c>
      <c r="L9" t="str">
        <f t="shared" si="0"/>
        <v>2025-01</v>
      </c>
      <c r="M9" s="9">
        <f t="shared" si="1"/>
        <v>0.73333333333333328</v>
      </c>
    </row>
    <row r="10" spans="1:13" x14ac:dyDescent="0.3">
      <c r="A10" t="s">
        <v>42</v>
      </c>
      <c r="B10" s="3" t="s">
        <v>40</v>
      </c>
      <c r="C10" t="s">
        <v>23</v>
      </c>
      <c r="D10" t="s">
        <v>43</v>
      </c>
      <c r="E10">
        <v>8</v>
      </c>
      <c r="F10" s="5">
        <v>20</v>
      </c>
      <c r="G10" s="9">
        <v>0.05</v>
      </c>
      <c r="H10" s="5">
        <v>152</v>
      </c>
      <c r="I10" s="5">
        <v>96</v>
      </c>
      <c r="J10" t="s">
        <v>44</v>
      </c>
      <c r="K10" t="s">
        <v>32</v>
      </c>
      <c r="L10" t="str">
        <f t="shared" si="0"/>
        <v>2025-01</v>
      </c>
      <c r="M10" s="9">
        <f t="shared" si="1"/>
        <v>0.63157894736842102</v>
      </c>
    </row>
    <row r="11" spans="1:13" x14ac:dyDescent="0.3">
      <c r="A11" t="s">
        <v>45</v>
      </c>
      <c r="B11" s="3" t="s">
        <v>46</v>
      </c>
      <c r="C11" t="s">
        <v>23</v>
      </c>
      <c r="D11" t="s">
        <v>31</v>
      </c>
      <c r="E11">
        <v>2</v>
      </c>
      <c r="F11" s="5">
        <v>25</v>
      </c>
      <c r="G11" s="9">
        <v>0.05</v>
      </c>
      <c r="H11" s="5">
        <v>47.5</v>
      </c>
      <c r="I11" s="5">
        <v>31.5</v>
      </c>
      <c r="J11" t="s">
        <v>20</v>
      </c>
      <c r="K11" t="s">
        <v>32</v>
      </c>
      <c r="L11" t="str">
        <f t="shared" si="0"/>
        <v>2025-01</v>
      </c>
      <c r="M11" s="9">
        <f t="shared" si="1"/>
        <v>0.66315789473684206</v>
      </c>
    </row>
    <row r="12" spans="1:13" x14ac:dyDescent="0.3">
      <c r="A12" t="s">
        <v>47</v>
      </c>
      <c r="B12" s="3" t="s">
        <v>48</v>
      </c>
      <c r="C12" t="s">
        <v>13</v>
      </c>
      <c r="D12" t="s">
        <v>14</v>
      </c>
      <c r="E12">
        <v>9</v>
      </c>
      <c r="F12" s="5">
        <v>110</v>
      </c>
      <c r="G12" s="9">
        <v>0</v>
      </c>
      <c r="H12" s="5">
        <v>990</v>
      </c>
      <c r="I12" s="5">
        <v>720</v>
      </c>
      <c r="J12" t="s">
        <v>15</v>
      </c>
      <c r="K12" t="s">
        <v>16</v>
      </c>
      <c r="L12" t="str">
        <f t="shared" si="0"/>
        <v>2025-01</v>
      </c>
      <c r="M12" s="9">
        <f t="shared" si="1"/>
        <v>0.72727272727272729</v>
      </c>
    </row>
    <row r="13" spans="1:13" x14ac:dyDescent="0.3">
      <c r="A13" t="s">
        <v>49</v>
      </c>
      <c r="B13" s="3" t="s">
        <v>50</v>
      </c>
      <c r="C13" t="s">
        <v>13</v>
      </c>
      <c r="D13" t="s">
        <v>51</v>
      </c>
      <c r="E13">
        <v>8</v>
      </c>
      <c r="F13" s="5">
        <v>250</v>
      </c>
      <c r="G13" s="9">
        <v>0</v>
      </c>
      <c r="H13" s="5">
        <v>2000</v>
      </c>
      <c r="I13" s="5">
        <v>1440</v>
      </c>
      <c r="J13" t="s">
        <v>28</v>
      </c>
      <c r="K13" t="s">
        <v>29</v>
      </c>
      <c r="L13" t="str">
        <f t="shared" si="0"/>
        <v>2025-01</v>
      </c>
      <c r="M13" s="9">
        <f t="shared" si="1"/>
        <v>0.72</v>
      </c>
    </row>
    <row r="14" spans="1:13" x14ac:dyDescent="0.3">
      <c r="A14" t="s">
        <v>52</v>
      </c>
      <c r="B14" s="3" t="s">
        <v>50</v>
      </c>
      <c r="C14" t="s">
        <v>23</v>
      </c>
      <c r="D14" t="s">
        <v>35</v>
      </c>
      <c r="E14">
        <v>5</v>
      </c>
      <c r="F14" s="5">
        <v>15</v>
      </c>
      <c r="G14" s="9">
        <v>0.15</v>
      </c>
      <c r="H14" s="5">
        <v>63.75</v>
      </c>
      <c r="I14" s="5">
        <v>38.75</v>
      </c>
      <c r="J14" t="s">
        <v>20</v>
      </c>
      <c r="K14" t="s">
        <v>901</v>
      </c>
      <c r="L14" t="str">
        <f t="shared" si="0"/>
        <v>2025-01</v>
      </c>
      <c r="M14" s="9">
        <f t="shared" si="1"/>
        <v>0.60784313725490191</v>
      </c>
    </row>
    <row r="15" spans="1:13" x14ac:dyDescent="0.3">
      <c r="A15" t="s">
        <v>53</v>
      </c>
      <c r="B15" s="3" t="s">
        <v>54</v>
      </c>
      <c r="C15" t="s">
        <v>23</v>
      </c>
      <c r="D15" t="s">
        <v>43</v>
      </c>
      <c r="E15">
        <v>2</v>
      </c>
      <c r="F15" s="5">
        <v>20</v>
      </c>
      <c r="G15" s="9">
        <v>0</v>
      </c>
      <c r="H15" s="5">
        <v>40</v>
      </c>
      <c r="I15" s="5">
        <v>26</v>
      </c>
      <c r="J15" t="s">
        <v>44</v>
      </c>
      <c r="K15" t="s">
        <v>29</v>
      </c>
      <c r="L15" t="str">
        <f t="shared" si="0"/>
        <v>2025-01</v>
      </c>
      <c r="M15" s="9">
        <f t="shared" si="1"/>
        <v>0.65</v>
      </c>
    </row>
    <row r="16" spans="1:13" x14ac:dyDescent="0.3">
      <c r="A16" t="s">
        <v>55</v>
      </c>
      <c r="B16" s="3" t="s">
        <v>56</v>
      </c>
      <c r="C16" t="s">
        <v>23</v>
      </c>
      <c r="D16" t="s">
        <v>43</v>
      </c>
      <c r="E16">
        <v>8</v>
      </c>
      <c r="F16" s="5">
        <v>20</v>
      </c>
      <c r="G16" s="9">
        <v>0</v>
      </c>
      <c r="H16" s="5">
        <v>160</v>
      </c>
      <c r="I16" s="5">
        <v>104</v>
      </c>
      <c r="J16" t="s">
        <v>20</v>
      </c>
      <c r="K16" t="s">
        <v>16</v>
      </c>
      <c r="L16" t="str">
        <f t="shared" si="0"/>
        <v>2025-01</v>
      </c>
      <c r="M16" s="9">
        <f t="shared" si="1"/>
        <v>0.65</v>
      </c>
    </row>
    <row r="17" spans="1:13" x14ac:dyDescent="0.3">
      <c r="A17" t="s">
        <v>57</v>
      </c>
      <c r="B17" s="3" t="s">
        <v>56</v>
      </c>
      <c r="C17" t="s">
        <v>23</v>
      </c>
      <c r="D17" t="s">
        <v>58</v>
      </c>
      <c r="E17">
        <v>1</v>
      </c>
      <c r="F17" s="5">
        <v>8</v>
      </c>
      <c r="G17" s="9">
        <v>0.1</v>
      </c>
      <c r="H17" s="5">
        <v>7.2</v>
      </c>
      <c r="I17" s="5">
        <v>4.2</v>
      </c>
      <c r="J17" t="s">
        <v>15</v>
      </c>
      <c r="K17" t="s">
        <v>16</v>
      </c>
      <c r="L17" t="str">
        <f t="shared" si="0"/>
        <v>2025-01</v>
      </c>
      <c r="M17" s="9">
        <f t="shared" si="1"/>
        <v>0.58333333333333337</v>
      </c>
    </row>
    <row r="18" spans="1:13" x14ac:dyDescent="0.3">
      <c r="A18" t="s">
        <v>59</v>
      </c>
      <c r="B18" s="3" t="s">
        <v>60</v>
      </c>
      <c r="C18" t="s">
        <v>18</v>
      </c>
      <c r="D18" t="s">
        <v>61</v>
      </c>
      <c r="E18">
        <v>3</v>
      </c>
      <c r="F18" s="5">
        <v>25</v>
      </c>
      <c r="G18" s="9">
        <v>0</v>
      </c>
      <c r="H18" s="5">
        <v>75</v>
      </c>
      <c r="I18" s="5">
        <v>45</v>
      </c>
      <c r="J18" t="s">
        <v>20</v>
      </c>
      <c r="K18" t="s">
        <v>16</v>
      </c>
      <c r="L18" t="str">
        <f t="shared" si="0"/>
        <v>2025-01</v>
      </c>
      <c r="M18" s="9">
        <f t="shared" si="1"/>
        <v>0.6</v>
      </c>
    </row>
    <row r="19" spans="1:13" x14ac:dyDescent="0.3">
      <c r="A19" t="s">
        <v>62</v>
      </c>
      <c r="B19" s="3" t="s">
        <v>63</v>
      </c>
      <c r="C19" t="s">
        <v>13</v>
      </c>
      <c r="D19" t="s">
        <v>14</v>
      </c>
      <c r="E19">
        <v>7</v>
      </c>
      <c r="F19" s="5">
        <v>110</v>
      </c>
      <c r="G19" s="9">
        <v>0.05</v>
      </c>
      <c r="H19" s="5">
        <v>731.5</v>
      </c>
      <c r="I19" s="5">
        <v>521.5</v>
      </c>
      <c r="J19" t="s">
        <v>44</v>
      </c>
      <c r="K19" t="s">
        <v>16</v>
      </c>
      <c r="L19" t="str">
        <f t="shared" si="0"/>
        <v>2025-01</v>
      </c>
      <c r="M19" s="9">
        <f t="shared" si="1"/>
        <v>0.71291866028708128</v>
      </c>
    </row>
    <row r="20" spans="1:13" x14ac:dyDescent="0.3">
      <c r="A20" t="s">
        <v>64</v>
      </c>
      <c r="B20" s="3" t="s">
        <v>65</v>
      </c>
      <c r="C20" t="s">
        <v>23</v>
      </c>
      <c r="D20" t="s">
        <v>58</v>
      </c>
      <c r="E20">
        <v>3</v>
      </c>
      <c r="F20" s="5">
        <v>8</v>
      </c>
      <c r="G20" s="9">
        <v>0</v>
      </c>
      <c r="H20" s="5">
        <v>24</v>
      </c>
      <c r="I20" s="5">
        <v>15</v>
      </c>
      <c r="J20" t="s">
        <v>28</v>
      </c>
      <c r="K20" t="s">
        <v>32</v>
      </c>
      <c r="L20" t="str">
        <f t="shared" si="0"/>
        <v>2025-01</v>
      </c>
      <c r="M20" s="9">
        <f t="shared" si="1"/>
        <v>0.625</v>
      </c>
    </row>
    <row r="21" spans="1:13" x14ac:dyDescent="0.3">
      <c r="A21" t="s">
        <v>66</v>
      </c>
      <c r="B21" s="3" t="s">
        <v>65</v>
      </c>
      <c r="C21" t="s">
        <v>13</v>
      </c>
      <c r="D21" t="s">
        <v>67</v>
      </c>
      <c r="E21">
        <v>4</v>
      </c>
      <c r="F21" s="5">
        <v>35</v>
      </c>
      <c r="G21" s="9">
        <v>0.15</v>
      </c>
      <c r="H21" s="5">
        <v>119</v>
      </c>
      <c r="I21" s="5">
        <v>71</v>
      </c>
      <c r="J21" t="s">
        <v>44</v>
      </c>
      <c r="K21" t="s">
        <v>32</v>
      </c>
      <c r="L21" t="str">
        <f t="shared" si="0"/>
        <v>2025-01</v>
      </c>
      <c r="M21" s="9">
        <f t="shared" si="1"/>
        <v>0.59663865546218486</v>
      </c>
    </row>
    <row r="22" spans="1:13" x14ac:dyDescent="0.3">
      <c r="A22" t="s">
        <v>68</v>
      </c>
      <c r="B22" s="3" t="s">
        <v>69</v>
      </c>
      <c r="C22" t="s">
        <v>23</v>
      </c>
      <c r="D22" t="s">
        <v>35</v>
      </c>
      <c r="E22">
        <v>1</v>
      </c>
      <c r="F22" s="5">
        <v>15</v>
      </c>
      <c r="G22" s="9">
        <v>0</v>
      </c>
      <c r="H22" s="5">
        <v>15</v>
      </c>
      <c r="I22" s="5">
        <v>10</v>
      </c>
      <c r="J22" t="s">
        <v>44</v>
      </c>
      <c r="K22" t="s">
        <v>32</v>
      </c>
      <c r="L22" t="str">
        <f t="shared" si="0"/>
        <v>2025-01</v>
      </c>
      <c r="M22" s="9">
        <f t="shared" si="1"/>
        <v>0.66666666666666663</v>
      </c>
    </row>
    <row r="23" spans="1:13" x14ac:dyDescent="0.3">
      <c r="A23" t="s">
        <v>70</v>
      </c>
      <c r="B23" s="3" t="s">
        <v>71</v>
      </c>
      <c r="C23" t="s">
        <v>23</v>
      </c>
      <c r="D23" t="s">
        <v>58</v>
      </c>
      <c r="E23">
        <v>9</v>
      </c>
      <c r="F23" s="5">
        <v>8</v>
      </c>
      <c r="G23" s="9">
        <v>0</v>
      </c>
      <c r="H23" s="5">
        <v>72</v>
      </c>
      <c r="I23" s="5">
        <v>45</v>
      </c>
      <c r="J23" t="s">
        <v>20</v>
      </c>
      <c r="K23" t="s">
        <v>16</v>
      </c>
      <c r="L23" t="str">
        <f t="shared" si="0"/>
        <v>2025-01</v>
      </c>
      <c r="M23" s="9">
        <f t="shared" si="1"/>
        <v>0.625</v>
      </c>
    </row>
    <row r="24" spans="1:13" x14ac:dyDescent="0.3">
      <c r="A24" t="s">
        <v>72</v>
      </c>
      <c r="B24" s="3" t="s">
        <v>73</v>
      </c>
      <c r="C24" t="s">
        <v>18</v>
      </c>
      <c r="D24" t="s">
        <v>27</v>
      </c>
      <c r="E24">
        <v>6</v>
      </c>
      <c r="F24" s="5">
        <v>80</v>
      </c>
      <c r="G24" s="9">
        <v>0</v>
      </c>
      <c r="H24" s="5">
        <v>480</v>
      </c>
      <c r="I24" s="5">
        <v>300</v>
      </c>
      <c r="J24" t="s">
        <v>20</v>
      </c>
      <c r="K24" t="s">
        <v>29</v>
      </c>
      <c r="L24" t="str">
        <f t="shared" si="0"/>
        <v>2025-01</v>
      </c>
      <c r="M24" s="9">
        <f t="shared" si="1"/>
        <v>0.625</v>
      </c>
    </row>
    <row r="25" spans="1:13" x14ac:dyDescent="0.3">
      <c r="A25" t="s">
        <v>74</v>
      </c>
      <c r="B25" s="3" t="s">
        <v>73</v>
      </c>
      <c r="C25" t="s">
        <v>18</v>
      </c>
      <c r="D25" t="s">
        <v>61</v>
      </c>
      <c r="E25">
        <v>4</v>
      </c>
      <c r="F25" s="5">
        <v>25</v>
      </c>
      <c r="G25" s="9">
        <v>0</v>
      </c>
      <c r="H25" s="5">
        <v>100</v>
      </c>
      <c r="I25" s="5">
        <v>60</v>
      </c>
      <c r="J25" t="s">
        <v>20</v>
      </c>
      <c r="K25" t="s">
        <v>29</v>
      </c>
      <c r="L25" t="str">
        <f t="shared" si="0"/>
        <v>2025-01</v>
      </c>
      <c r="M25" s="9">
        <f t="shared" si="1"/>
        <v>0.6</v>
      </c>
    </row>
    <row r="26" spans="1:13" x14ac:dyDescent="0.3">
      <c r="A26" t="s">
        <v>75</v>
      </c>
      <c r="B26" s="3" t="s">
        <v>76</v>
      </c>
      <c r="C26" t="s">
        <v>18</v>
      </c>
      <c r="D26" t="s">
        <v>77</v>
      </c>
      <c r="E26">
        <v>1</v>
      </c>
      <c r="F26" s="5">
        <v>1200</v>
      </c>
      <c r="G26" s="9">
        <v>0.2</v>
      </c>
      <c r="H26" s="5">
        <v>960</v>
      </c>
      <c r="I26" s="5">
        <v>660</v>
      </c>
      <c r="J26" t="s">
        <v>44</v>
      </c>
      <c r="K26" t="s">
        <v>16</v>
      </c>
      <c r="L26" t="str">
        <f t="shared" si="0"/>
        <v>2025-01</v>
      </c>
      <c r="M26" s="9">
        <f t="shared" si="1"/>
        <v>0.6875</v>
      </c>
    </row>
    <row r="27" spans="1:13" x14ac:dyDescent="0.3">
      <c r="A27" t="s">
        <v>78</v>
      </c>
      <c r="B27" s="3" t="s">
        <v>79</v>
      </c>
      <c r="C27" t="s">
        <v>18</v>
      </c>
      <c r="D27" t="s">
        <v>77</v>
      </c>
      <c r="E27">
        <v>3</v>
      </c>
      <c r="F27" s="5">
        <v>1200</v>
      </c>
      <c r="G27" s="9">
        <v>0.05</v>
      </c>
      <c r="H27" s="5">
        <v>3420</v>
      </c>
      <c r="I27" s="5">
        <v>2520</v>
      </c>
      <c r="J27" t="s">
        <v>44</v>
      </c>
      <c r="K27" t="s">
        <v>29</v>
      </c>
      <c r="L27" t="str">
        <f t="shared" si="0"/>
        <v>2025-01</v>
      </c>
      <c r="M27" s="9">
        <f t="shared" si="1"/>
        <v>0.73684210526315785</v>
      </c>
    </row>
    <row r="28" spans="1:13" x14ac:dyDescent="0.3">
      <c r="A28" t="s">
        <v>80</v>
      </c>
      <c r="B28" s="3" t="s">
        <v>79</v>
      </c>
      <c r="C28" t="s">
        <v>13</v>
      </c>
      <c r="D28" t="s">
        <v>67</v>
      </c>
      <c r="E28">
        <v>7</v>
      </c>
      <c r="F28" s="5">
        <v>35</v>
      </c>
      <c r="G28" s="9">
        <v>0.1</v>
      </c>
      <c r="H28" s="5">
        <v>220.5</v>
      </c>
      <c r="I28" s="5">
        <v>136.5</v>
      </c>
      <c r="J28" t="s">
        <v>15</v>
      </c>
      <c r="K28" t="s">
        <v>29</v>
      </c>
      <c r="L28" t="str">
        <f t="shared" si="0"/>
        <v>2025-01</v>
      </c>
      <c r="M28" s="9">
        <f t="shared" si="1"/>
        <v>0.61904761904761907</v>
      </c>
    </row>
    <row r="29" spans="1:13" x14ac:dyDescent="0.3">
      <c r="A29" t="s">
        <v>81</v>
      </c>
      <c r="B29" s="3" t="s">
        <v>82</v>
      </c>
      <c r="C29" t="s">
        <v>13</v>
      </c>
      <c r="D29" t="s">
        <v>67</v>
      </c>
      <c r="E29">
        <v>2</v>
      </c>
      <c r="F29" s="5">
        <v>35</v>
      </c>
      <c r="G29" s="9">
        <v>0.05</v>
      </c>
      <c r="H29" s="5">
        <v>66.5</v>
      </c>
      <c r="I29" s="5">
        <v>42.5</v>
      </c>
      <c r="J29" t="s">
        <v>44</v>
      </c>
      <c r="K29" t="s">
        <v>16</v>
      </c>
      <c r="L29" t="str">
        <f t="shared" si="0"/>
        <v>2025-01</v>
      </c>
      <c r="M29" s="9">
        <f t="shared" si="1"/>
        <v>0.63909774436090228</v>
      </c>
    </row>
    <row r="30" spans="1:13" x14ac:dyDescent="0.3">
      <c r="A30" t="s">
        <v>83</v>
      </c>
      <c r="B30" s="3" t="s">
        <v>84</v>
      </c>
      <c r="C30" t="s">
        <v>23</v>
      </c>
      <c r="D30" t="s">
        <v>43</v>
      </c>
      <c r="E30">
        <v>6</v>
      </c>
      <c r="F30" s="5">
        <v>20</v>
      </c>
      <c r="G30" s="9">
        <v>0.05</v>
      </c>
      <c r="H30" s="5">
        <v>114</v>
      </c>
      <c r="I30" s="5">
        <v>72</v>
      </c>
      <c r="J30" t="s">
        <v>28</v>
      </c>
      <c r="K30" t="s">
        <v>16</v>
      </c>
      <c r="L30" t="str">
        <f t="shared" si="0"/>
        <v>2025-01</v>
      </c>
      <c r="M30" s="9">
        <f t="shared" si="1"/>
        <v>0.63157894736842102</v>
      </c>
    </row>
    <row r="31" spans="1:13" x14ac:dyDescent="0.3">
      <c r="A31" t="s">
        <v>85</v>
      </c>
      <c r="B31" s="3" t="s">
        <v>86</v>
      </c>
      <c r="C31" t="s">
        <v>18</v>
      </c>
      <c r="D31" t="s">
        <v>61</v>
      </c>
      <c r="E31">
        <v>3</v>
      </c>
      <c r="F31" s="5">
        <v>25</v>
      </c>
      <c r="G31" s="9">
        <v>0.1</v>
      </c>
      <c r="H31" s="5">
        <v>67.5</v>
      </c>
      <c r="I31" s="5">
        <v>37.5</v>
      </c>
      <c r="J31" t="s">
        <v>44</v>
      </c>
      <c r="K31" t="s">
        <v>16</v>
      </c>
      <c r="L31" t="str">
        <f t="shared" si="0"/>
        <v>2025-01</v>
      </c>
      <c r="M31" s="9">
        <f t="shared" si="1"/>
        <v>0.55555555555555558</v>
      </c>
    </row>
    <row r="32" spans="1:13" x14ac:dyDescent="0.3">
      <c r="A32" t="s">
        <v>87</v>
      </c>
      <c r="B32" s="3" t="s">
        <v>86</v>
      </c>
      <c r="C32" t="s">
        <v>23</v>
      </c>
      <c r="D32" t="s">
        <v>24</v>
      </c>
      <c r="E32">
        <v>8</v>
      </c>
      <c r="F32" s="5">
        <v>10</v>
      </c>
      <c r="G32" s="9">
        <v>0</v>
      </c>
      <c r="H32" s="5">
        <v>80</v>
      </c>
      <c r="I32" s="5">
        <v>48</v>
      </c>
      <c r="J32" t="s">
        <v>44</v>
      </c>
      <c r="K32" t="s">
        <v>16</v>
      </c>
      <c r="L32" t="str">
        <f t="shared" si="0"/>
        <v>2025-01</v>
      </c>
      <c r="M32" s="9">
        <f t="shared" si="1"/>
        <v>0.6</v>
      </c>
    </row>
    <row r="33" spans="1:13" x14ac:dyDescent="0.3">
      <c r="A33" t="s">
        <v>88</v>
      </c>
      <c r="B33" s="3" t="s">
        <v>89</v>
      </c>
      <c r="C33" t="s">
        <v>23</v>
      </c>
      <c r="D33" t="s">
        <v>24</v>
      </c>
      <c r="E33">
        <v>3</v>
      </c>
      <c r="F33" s="5">
        <v>10</v>
      </c>
      <c r="G33" s="9">
        <v>0</v>
      </c>
      <c r="H33" s="5">
        <v>30</v>
      </c>
      <c r="I33" s="5">
        <v>18</v>
      </c>
      <c r="J33" t="s">
        <v>15</v>
      </c>
      <c r="K33" t="s">
        <v>32</v>
      </c>
      <c r="L33" t="str">
        <f t="shared" si="0"/>
        <v>2025-01</v>
      </c>
      <c r="M33" s="9">
        <f t="shared" si="1"/>
        <v>0.6</v>
      </c>
    </row>
    <row r="34" spans="1:13" x14ac:dyDescent="0.3">
      <c r="A34" t="s">
        <v>90</v>
      </c>
      <c r="B34" s="3" t="s">
        <v>91</v>
      </c>
      <c r="C34" t="s">
        <v>13</v>
      </c>
      <c r="D34" t="s">
        <v>51</v>
      </c>
      <c r="E34">
        <v>2</v>
      </c>
      <c r="F34" s="5">
        <v>250</v>
      </c>
      <c r="G34" s="9">
        <v>0.2</v>
      </c>
      <c r="H34" s="5">
        <v>400</v>
      </c>
      <c r="I34" s="5">
        <v>260</v>
      </c>
      <c r="J34" t="s">
        <v>28</v>
      </c>
      <c r="K34" t="s">
        <v>29</v>
      </c>
      <c r="L34" t="str">
        <f t="shared" si="0"/>
        <v>2025-01</v>
      </c>
      <c r="M34" s="9">
        <f t="shared" si="1"/>
        <v>0.65</v>
      </c>
    </row>
    <row r="35" spans="1:13" x14ac:dyDescent="0.3">
      <c r="A35" t="s">
        <v>92</v>
      </c>
      <c r="B35" s="3" t="s">
        <v>93</v>
      </c>
      <c r="C35" t="s">
        <v>23</v>
      </c>
      <c r="D35" t="s">
        <v>35</v>
      </c>
      <c r="E35">
        <v>9</v>
      </c>
      <c r="F35" s="5">
        <v>15</v>
      </c>
      <c r="G35" s="9">
        <v>0</v>
      </c>
      <c r="H35" s="5">
        <v>135</v>
      </c>
      <c r="I35" s="5">
        <v>90</v>
      </c>
      <c r="J35" t="s">
        <v>20</v>
      </c>
      <c r="K35" t="s">
        <v>32</v>
      </c>
      <c r="L35" t="str">
        <f t="shared" si="0"/>
        <v>2025-01</v>
      </c>
      <c r="M35" s="9">
        <f t="shared" si="1"/>
        <v>0.66666666666666663</v>
      </c>
    </row>
    <row r="36" spans="1:13" x14ac:dyDescent="0.3">
      <c r="A36" t="s">
        <v>94</v>
      </c>
      <c r="B36" s="3" t="s">
        <v>93</v>
      </c>
      <c r="C36" t="s">
        <v>23</v>
      </c>
      <c r="D36" t="s">
        <v>35</v>
      </c>
      <c r="E36">
        <v>8</v>
      </c>
      <c r="F36" s="5">
        <v>15</v>
      </c>
      <c r="G36" s="9">
        <v>0.15</v>
      </c>
      <c r="H36" s="5">
        <v>102</v>
      </c>
      <c r="I36" s="5">
        <v>62</v>
      </c>
      <c r="J36" t="s">
        <v>28</v>
      </c>
      <c r="K36" t="s">
        <v>29</v>
      </c>
      <c r="L36" t="str">
        <f t="shared" si="0"/>
        <v>2025-01</v>
      </c>
      <c r="M36" s="9">
        <f t="shared" si="1"/>
        <v>0.60784313725490191</v>
      </c>
    </row>
    <row r="37" spans="1:13" x14ac:dyDescent="0.3">
      <c r="A37" t="s">
        <v>95</v>
      </c>
      <c r="B37" s="3" t="s">
        <v>96</v>
      </c>
      <c r="C37" t="s">
        <v>23</v>
      </c>
      <c r="D37" t="s">
        <v>58</v>
      </c>
      <c r="E37">
        <v>9</v>
      </c>
      <c r="F37" s="5">
        <v>8</v>
      </c>
      <c r="G37" s="9">
        <v>0.05</v>
      </c>
      <c r="H37" s="5">
        <v>68.400000000000006</v>
      </c>
      <c r="I37" s="5">
        <v>41.4</v>
      </c>
      <c r="J37" t="s">
        <v>15</v>
      </c>
      <c r="K37" t="s">
        <v>16</v>
      </c>
      <c r="L37" t="str">
        <f t="shared" si="0"/>
        <v>2025-01</v>
      </c>
      <c r="M37" s="9">
        <f t="shared" si="1"/>
        <v>0.60526315789473673</v>
      </c>
    </row>
    <row r="38" spans="1:13" x14ac:dyDescent="0.3">
      <c r="A38" t="s">
        <v>97</v>
      </c>
      <c r="B38" s="3" t="s">
        <v>98</v>
      </c>
      <c r="C38" t="s">
        <v>13</v>
      </c>
      <c r="D38" t="s">
        <v>38</v>
      </c>
      <c r="E38">
        <v>9</v>
      </c>
      <c r="F38" s="5">
        <v>150</v>
      </c>
      <c r="G38" s="9">
        <v>0</v>
      </c>
      <c r="H38" s="5">
        <v>1350</v>
      </c>
      <c r="I38" s="5">
        <v>990</v>
      </c>
      <c r="J38" t="s">
        <v>15</v>
      </c>
      <c r="K38" t="s">
        <v>29</v>
      </c>
      <c r="L38" t="str">
        <f t="shared" si="0"/>
        <v>2025-01</v>
      </c>
      <c r="M38" s="9">
        <f t="shared" si="1"/>
        <v>0.73333333333333328</v>
      </c>
    </row>
    <row r="39" spans="1:13" x14ac:dyDescent="0.3">
      <c r="A39" t="s">
        <v>99</v>
      </c>
      <c r="B39" s="3" t="s">
        <v>98</v>
      </c>
      <c r="C39" t="s">
        <v>18</v>
      </c>
      <c r="D39" t="s">
        <v>27</v>
      </c>
      <c r="E39">
        <v>1</v>
      </c>
      <c r="F39" s="5">
        <v>80</v>
      </c>
      <c r="G39" s="9">
        <v>0</v>
      </c>
      <c r="H39" s="5">
        <v>80</v>
      </c>
      <c r="I39" s="5">
        <v>50</v>
      </c>
      <c r="J39" t="s">
        <v>44</v>
      </c>
      <c r="K39" t="s">
        <v>29</v>
      </c>
      <c r="L39" t="str">
        <f t="shared" si="0"/>
        <v>2025-01</v>
      </c>
      <c r="M39" s="9">
        <f t="shared" si="1"/>
        <v>0.625</v>
      </c>
    </row>
    <row r="40" spans="1:13" x14ac:dyDescent="0.3">
      <c r="A40" t="s">
        <v>100</v>
      </c>
      <c r="B40" s="3" t="s">
        <v>101</v>
      </c>
      <c r="C40" t="s">
        <v>13</v>
      </c>
      <c r="D40" t="s">
        <v>14</v>
      </c>
      <c r="E40">
        <v>3</v>
      </c>
      <c r="F40" s="5">
        <v>110</v>
      </c>
      <c r="G40" s="9">
        <v>0.15</v>
      </c>
      <c r="H40" s="5">
        <v>280.5</v>
      </c>
      <c r="I40" s="5">
        <v>190.5</v>
      </c>
      <c r="J40" t="s">
        <v>20</v>
      </c>
      <c r="K40" t="s">
        <v>29</v>
      </c>
      <c r="L40" t="str">
        <f t="shared" si="0"/>
        <v>2025-01</v>
      </c>
      <c r="M40" s="9">
        <f t="shared" si="1"/>
        <v>0.67914438502673802</v>
      </c>
    </row>
    <row r="41" spans="1:13" x14ac:dyDescent="0.3">
      <c r="A41" t="s">
        <v>102</v>
      </c>
      <c r="B41" s="3" t="s">
        <v>103</v>
      </c>
      <c r="C41" t="s">
        <v>13</v>
      </c>
      <c r="D41" t="s">
        <v>67</v>
      </c>
      <c r="E41">
        <v>1</v>
      </c>
      <c r="F41" s="5">
        <v>35</v>
      </c>
      <c r="G41" s="9">
        <v>0</v>
      </c>
      <c r="H41" s="5">
        <v>35</v>
      </c>
      <c r="I41" s="5">
        <v>23</v>
      </c>
      <c r="J41" t="s">
        <v>20</v>
      </c>
      <c r="K41" t="s">
        <v>16</v>
      </c>
      <c r="L41" t="str">
        <f t="shared" si="0"/>
        <v>2025-01</v>
      </c>
      <c r="M41" s="9">
        <f t="shared" si="1"/>
        <v>0.65714285714285714</v>
      </c>
    </row>
    <row r="42" spans="1:13" x14ac:dyDescent="0.3">
      <c r="A42" t="s">
        <v>104</v>
      </c>
      <c r="B42" s="3" t="s">
        <v>105</v>
      </c>
      <c r="C42" t="s">
        <v>18</v>
      </c>
      <c r="D42" t="s">
        <v>77</v>
      </c>
      <c r="E42">
        <v>1</v>
      </c>
      <c r="F42" s="5">
        <v>1200</v>
      </c>
      <c r="G42" s="9">
        <v>0.2</v>
      </c>
      <c r="H42" s="5">
        <v>960</v>
      </c>
      <c r="I42" s="5">
        <v>660</v>
      </c>
      <c r="J42" t="s">
        <v>44</v>
      </c>
      <c r="K42" t="s">
        <v>16</v>
      </c>
      <c r="L42" t="str">
        <f t="shared" si="0"/>
        <v>2025-01</v>
      </c>
      <c r="M42" s="9">
        <f t="shared" si="1"/>
        <v>0.6875</v>
      </c>
    </row>
    <row r="43" spans="1:13" x14ac:dyDescent="0.3">
      <c r="A43" t="s">
        <v>106</v>
      </c>
      <c r="B43" s="3" t="s">
        <v>105</v>
      </c>
      <c r="C43" t="s">
        <v>23</v>
      </c>
      <c r="D43" t="s">
        <v>43</v>
      </c>
      <c r="E43">
        <v>9</v>
      </c>
      <c r="F43" s="5">
        <v>20</v>
      </c>
      <c r="G43" s="9">
        <v>0.2</v>
      </c>
      <c r="H43" s="5">
        <v>144</v>
      </c>
      <c r="I43" s="5">
        <v>81</v>
      </c>
      <c r="J43" t="s">
        <v>44</v>
      </c>
      <c r="K43" t="s">
        <v>29</v>
      </c>
      <c r="L43" t="str">
        <f t="shared" si="0"/>
        <v>2025-01</v>
      </c>
      <c r="M43" s="9">
        <f t="shared" si="1"/>
        <v>0.5625</v>
      </c>
    </row>
    <row r="44" spans="1:13" x14ac:dyDescent="0.3">
      <c r="A44" t="s">
        <v>107</v>
      </c>
      <c r="B44" s="3" t="s">
        <v>108</v>
      </c>
      <c r="C44" t="s">
        <v>13</v>
      </c>
      <c r="D44" t="s">
        <v>67</v>
      </c>
      <c r="E44">
        <v>1</v>
      </c>
      <c r="F44" s="5">
        <v>35</v>
      </c>
      <c r="G44" s="9">
        <v>0</v>
      </c>
      <c r="H44" s="5">
        <v>35</v>
      </c>
      <c r="I44" s="5">
        <v>23</v>
      </c>
      <c r="J44" t="s">
        <v>44</v>
      </c>
      <c r="K44" t="s">
        <v>16</v>
      </c>
      <c r="L44" t="str">
        <f t="shared" si="0"/>
        <v>2025-01</v>
      </c>
      <c r="M44" s="9">
        <f t="shared" si="1"/>
        <v>0.65714285714285714</v>
      </c>
    </row>
    <row r="45" spans="1:13" x14ac:dyDescent="0.3">
      <c r="A45" t="s">
        <v>109</v>
      </c>
      <c r="B45" s="3" t="s">
        <v>110</v>
      </c>
      <c r="C45" t="s">
        <v>18</v>
      </c>
      <c r="D45" t="s">
        <v>27</v>
      </c>
      <c r="E45">
        <v>2</v>
      </c>
      <c r="F45" s="5">
        <v>80</v>
      </c>
      <c r="G45" s="9">
        <v>0.05</v>
      </c>
      <c r="H45" s="5">
        <v>152</v>
      </c>
      <c r="I45" s="5">
        <v>92</v>
      </c>
      <c r="J45" t="s">
        <v>28</v>
      </c>
      <c r="K45" t="s">
        <v>29</v>
      </c>
      <c r="L45" t="str">
        <f t="shared" si="0"/>
        <v>2025-02</v>
      </c>
      <c r="M45" s="9">
        <f t="shared" si="1"/>
        <v>0.60526315789473684</v>
      </c>
    </row>
    <row r="46" spans="1:13" x14ac:dyDescent="0.3">
      <c r="A46" t="s">
        <v>111</v>
      </c>
      <c r="B46" s="3" t="s">
        <v>112</v>
      </c>
      <c r="C46" t="s">
        <v>13</v>
      </c>
      <c r="D46" t="s">
        <v>41</v>
      </c>
      <c r="E46">
        <v>6</v>
      </c>
      <c r="F46" s="5">
        <v>450</v>
      </c>
      <c r="G46" s="9">
        <v>0</v>
      </c>
      <c r="H46" s="5">
        <v>2700</v>
      </c>
      <c r="I46" s="5">
        <v>1980</v>
      </c>
      <c r="J46" t="s">
        <v>15</v>
      </c>
      <c r="K46" t="s">
        <v>16</v>
      </c>
      <c r="L46" t="str">
        <f t="shared" si="0"/>
        <v>2025-02</v>
      </c>
      <c r="M46" s="9">
        <f t="shared" si="1"/>
        <v>0.73333333333333328</v>
      </c>
    </row>
    <row r="47" spans="1:13" x14ac:dyDescent="0.3">
      <c r="A47" t="s">
        <v>113</v>
      </c>
      <c r="B47" s="3" t="s">
        <v>112</v>
      </c>
      <c r="C47" t="s">
        <v>18</v>
      </c>
      <c r="D47" t="s">
        <v>77</v>
      </c>
      <c r="E47">
        <v>9</v>
      </c>
      <c r="F47" s="5">
        <v>1200</v>
      </c>
      <c r="G47" s="9">
        <v>0.1</v>
      </c>
      <c r="H47" s="5">
        <v>9720</v>
      </c>
      <c r="I47" s="5">
        <v>7020</v>
      </c>
      <c r="J47" t="s">
        <v>901</v>
      </c>
      <c r="K47" t="s">
        <v>16</v>
      </c>
      <c r="L47" t="str">
        <f t="shared" si="0"/>
        <v>2025-02</v>
      </c>
      <c r="M47" s="9">
        <f t="shared" si="1"/>
        <v>0.72222222222222221</v>
      </c>
    </row>
    <row r="48" spans="1:13" x14ac:dyDescent="0.3">
      <c r="A48" t="s">
        <v>114</v>
      </c>
      <c r="B48" s="3" t="s">
        <v>115</v>
      </c>
      <c r="C48" t="s">
        <v>23</v>
      </c>
      <c r="D48" t="s">
        <v>58</v>
      </c>
      <c r="E48">
        <v>2</v>
      </c>
      <c r="F48" s="5">
        <v>8</v>
      </c>
      <c r="G48" s="9">
        <v>0.15</v>
      </c>
      <c r="H48" s="5">
        <v>13.6</v>
      </c>
      <c r="I48" s="5">
        <v>7.6</v>
      </c>
      <c r="J48" t="s">
        <v>28</v>
      </c>
      <c r="K48" t="s">
        <v>29</v>
      </c>
      <c r="L48" t="str">
        <f t="shared" si="0"/>
        <v>2025-02</v>
      </c>
      <c r="M48" s="9">
        <f t="shared" si="1"/>
        <v>0.55882352941176472</v>
      </c>
    </row>
    <row r="49" spans="1:13" x14ac:dyDescent="0.3">
      <c r="A49" t="s">
        <v>116</v>
      </c>
      <c r="B49" s="3" t="s">
        <v>117</v>
      </c>
      <c r="C49" t="s">
        <v>13</v>
      </c>
      <c r="D49" t="s">
        <v>14</v>
      </c>
      <c r="E49">
        <v>4</v>
      </c>
      <c r="F49" s="5">
        <v>110</v>
      </c>
      <c r="G49" s="9">
        <v>0.05</v>
      </c>
      <c r="H49" s="5">
        <v>418</v>
      </c>
      <c r="I49" s="5">
        <v>298</v>
      </c>
      <c r="J49" t="s">
        <v>20</v>
      </c>
      <c r="K49" t="s">
        <v>29</v>
      </c>
      <c r="L49" t="str">
        <f t="shared" si="0"/>
        <v>2025-02</v>
      </c>
      <c r="M49" s="9">
        <f t="shared" si="1"/>
        <v>0.71291866028708128</v>
      </c>
    </row>
    <row r="50" spans="1:13" x14ac:dyDescent="0.3">
      <c r="A50" t="s">
        <v>118</v>
      </c>
      <c r="B50" s="3" t="s">
        <v>119</v>
      </c>
      <c r="C50" t="s">
        <v>23</v>
      </c>
      <c r="D50" t="s">
        <v>43</v>
      </c>
      <c r="E50">
        <v>2</v>
      </c>
      <c r="F50" s="5">
        <v>20</v>
      </c>
      <c r="G50" s="9">
        <v>0</v>
      </c>
      <c r="H50" s="5">
        <v>40</v>
      </c>
      <c r="I50" s="5">
        <v>26</v>
      </c>
      <c r="J50" t="s">
        <v>20</v>
      </c>
      <c r="K50" t="s">
        <v>16</v>
      </c>
      <c r="L50" t="str">
        <f t="shared" si="0"/>
        <v>2025-02</v>
      </c>
      <c r="M50" s="9">
        <f t="shared" si="1"/>
        <v>0.65</v>
      </c>
    </row>
    <row r="51" spans="1:13" x14ac:dyDescent="0.3">
      <c r="A51" t="s">
        <v>120</v>
      </c>
      <c r="B51" s="3" t="s">
        <v>119</v>
      </c>
      <c r="C51" t="s">
        <v>13</v>
      </c>
      <c r="D51" t="s">
        <v>14</v>
      </c>
      <c r="E51">
        <v>6</v>
      </c>
      <c r="F51" s="5">
        <v>110</v>
      </c>
      <c r="G51" s="9">
        <v>0.05</v>
      </c>
      <c r="H51" s="5">
        <v>627</v>
      </c>
      <c r="I51" s="5">
        <v>447</v>
      </c>
      <c r="J51" t="s">
        <v>15</v>
      </c>
      <c r="K51" t="s">
        <v>16</v>
      </c>
      <c r="L51" t="str">
        <f t="shared" si="0"/>
        <v>2025-02</v>
      </c>
      <c r="M51" s="9">
        <f t="shared" si="1"/>
        <v>0.71291866028708128</v>
      </c>
    </row>
    <row r="52" spans="1:13" x14ac:dyDescent="0.3">
      <c r="A52" t="s">
        <v>121</v>
      </c>
      <c r="B52" s="3" t="s">
        <v>122</v>
      </c>
      <c r="C52" t="s">
        <v>23</v>
      </c>
      <c r="D52" t="s">
        <v>58</v>
      </c>
      <c r="E52">
        <v>5</v>
      </c>
      <c r="F52" s="5">
        <v>8</v>
      </c>
      <c r="G52" s="9">
        <v>0.05</v>
      </c>
      <c r="H52" s="5">
        <v>38</v>
      </c>
      <c r="I52" s="5">
        <v>23</v>
      </c>
      <c r="J52" t="s">
        <v>20</v>
      </c>
      <c r="K52" t="s">
        <v>16</v>
      </c>
      <c r="L52" t="str">
        <f t="shared" si="0"/>
        <v>2025-02</v>
      </c>
      <c r="M52" s="9">
        <f t="shared" si="1"/>
        <v>0.60526315789473684</v>
      </c>
    </row>
    <row r="53" spans="1:13" x14ac:dyDescent="0.3">
      <c r="A53" t="s">
        <v>123</v>
      </c>
      <c r="B53" s="3" t="s">
        <v>124</v>
      </c>
      <c r="C53" t="s">
        <v>13</v>
      </c>
      <c r="D53" t="s">
        <v>67</v>
      </c>
      <c r="E53">
        <v>6</v>
      </c>
      <c r="F53" s="5">
        <v>35</v>
      </c>
      <c r="G53" s="9">
        <v>0</v>
      </c>
      <c r="H53" s="5">
        <v>210</v>
      </c>
      <c r="I53" s="5">
        <v>138</v>
      </c>
      <c r="J53" t="s">
        <v>44</v>
      </c>
      <c r="K53" t="s">
        <v>29</v>
      </c>
      <c r="L53" t="str">
        <f t="shared" si="0"/>
        <v>2025-02</v>
      </c>
      <c r="M53" s="9">
        <f t="shared" si="1"/>
        <v>0.65714285714285714</v>
      </c>
    </row>
    <row r="54" spans="1:13" x14ac:dyDescent="0.3">
      <c r="A54" t="s">
        <v>125</v>
      </c>
      <c r="B54" s="3" t="s">
        <v>124</v>
      </c>
      <c r="C54" t="s">
        <v>13</v>
      </c>
      <c r="D54" t="s">
        <v>67</v>
      </c>
      <c r="E54">
        <v>2</v>
      </c>
      <c r="F54" s="5">
        <v>35</v>
      </c>
      <c r="G54" s="9">
        <v>0.05</v>
      </c>
      <c r="H54" s="5">
        <v>66.5</v>
      </c>
      <c r="I54" s="5">
        <v>42.5</v>
      </c>
      <c r="J54" t="s">
        <v>44</v>
      </c>
      <c r="K54" t="s">
        <v>29</v>
      </c>
      <c r="L54" t="str">
        <f t="shared" si="0"/>
        <v>2025-02</v>
      </c>
      <c r="M54" s="9">
        <f t="shared" si="1"/>
        <v>0.63909774436090228</v>
      </c>
    </row>
    <row r="55" spans="1:13" x14ac:dyDescent="0.3">
      <c r="A55" t="s">
        <v>126</v>
      </c>
      <c r="B55" s="3" t="s">
        <v>127</v>
      </c>
      <c r="C55" t="s">
        <v>18</v>
      </c>
      <c r="D55" t="s">
        <v>128</v>
      </c>
      <c r="E55">
        <v>7</v>
      </c>
      <c r="F55" s="5">
        <v>350</v>
      </c>
      <c r="G55" s="9">
        <v>0</v>
      </c>
      <c r="H55" s="5">
        <v>2450</v>
      </c>
      <c r="I55" s="5">
        <v>1820</v>
      </c>
      <c r="J55" t="s">
        <v>15</v>
      </c>
      <c r="K55" t="s">
        <v>16</v>
      </c>
      <c r="L55" t="str">
        <f t="shared" si="0"/>
        <v>2025-02</v>
      </c>
      <c r="M55" s="9">
        <f t="shared" si="1"/>
        <v>0.74285714285714288</v>
      </c>
    </row>
    <row r="56" spans="1:13" x14ac:dyDescent="0.3">
      <c r="A56" t="s">
        <v>129</v>
      </c>
      <c r="B56" s="3" t="s">
        <v>130</v>
      </c>
      <c r="C56" t="s">
        <v>13</v>
      </c>
      <c r="D56" t="s">
        <v>67</v>
      </c>
      <c r="E56">
        <v>5</v>
      </c>
      <c r="F56" s="5">
        <v>35</v>
      </c>
      <c r="G56" s="9">
        <v>0</v>
      </c>
      <c r="H56" s="5">
        <v>175</v>
      </c>
      <c r="I56" s="5">
        <v>115</v>
      </c>
      <c r="J56" t="s">
        <v>28</v>
      </c>
      <c r="K56" t="s">
        <v>29</v>
      </c>
      <c r="L56" t="str">
        <f t="shared" si="0"/>
        <v>2025-02</v>
      </c>
      <c r="M56" s="9">
        <f t="shared" si="1"/>
        <v>0.65714285714285714</v>
      </c>
    </row>
    <row r="57" spans="1:13" x14ac:dyDescent="0.3">
      <c r="A57" t="s">
        <v>131</v>
      </c>
      <c r="B57" s="3" t="s">
        <v>132</v>
      </c>
      <c r="C57" t="s">
        <v>18</v>
      </c>
      <c r="D57" t="s">
        <v>77</v>
      </c>
      <c r="E57">
        <v>8</v>
      </c>
      <c r="F57" s="5">
        <v>1200</v>
      </c>
      <c r="G57" s="9">
        <v>0.15</v>
      </c>
      <c r="H57" s="5">
        <v>8160</v>
      </c>
      <c r="I57" s="5">
        <v>5760</v>
      </c>
      <c r="J57" t="s">
        <v>20</v>
      </c>
      <c r="K57" t="s">
        <v>29</v>
      </c>
      <c r="L57" t="str">
        <f t="shared" si="0"/>
        <v>2025-02</v>
      </c>
      <c r="M57" s="9">
        <f t="shared" si="1"/>
        <v>0.70588235294117652</v>
      </c>
    </row>
    <row r="58" spans="1:13" x14ac:dyDescent="0.3">
      <c r="A58" t="s">
        <v>133</v>
      </c>
      <c r="B58" s="3" t="s">
        <v>132</v>
      </c>
      <c r="C58" t="s">
        <v>23</v>
      </c>
      <c r="D58" t="s">
        <v>31</v>
      </c>
      <c r="E58">
        <v>6</v>
      </c>
      <c r="F58" s="5">
        <v>25</v>
      </c>
      <c r="G58" s="9">
        <v>0.1</v>
      </c>
      <c r="H58" s="5">
        <v>135</v>
      </c>
      <c r="I58" s="5">
        <v>87</v>
      </c>
      <c r="J58" t="s">
        <v>15</v>
      </c>
      <c r="K58" t="s">
        <v>29</v>
      </c>
      <c r="L58" t="str">
        <f t="shared" si="0"/>
        <v>2025-02</v>
      </c>
      <c r="M58" s="9">
        <f t="shared" si="1"/>
        <v>0.64444444444444449</v>
      </c>
    </row>
    <row r="59" spans="1:13" x14ac:dyDescent="0.3">
      <c r="A59" t="s">
        <v>134</v>
      </c>
      <c r="B59" s="3" t="s">
        <v>135</v>
      </c>
      <c r="C59" t="s">
        <v>18</v>
      </c>
      <c r="D59" t="s">
        <v>77</v>
      </c>
      <c r="E59">
        <v>5</v>
      </c>
      <c r="F59" s="5">
        <v>1200</v>
      </c>
      <c r="G59" s="9">
        <v>0</v>
      </c>
      <c r="H59" s="5">
        <v>6000</v>
      </c>
      <c r="I59" s="5">
        <v>4500</v>
      </c>
      <c r="J59" t="s">
        <v>44</v>
      </c>
      <c r="K59" t="s">
        <v>32</v>
      </c>
      <c r="L59" t="str">
        <f t="shared" si="0"/>
        <v>2025-02</v>
      </c>
      <c r="M59" s="9">
        <f t="shared" si="1"/>
        <v>0.75</v>
      </c>
    </row>
    <row r="60" spans="1:13" x14ac:dyDescent="0.3">
      <c r="A60" t="s">
        <v>136</v>
      </c>
      <c r="B60" s="3" t="s">
        <v>137</v>
      </c>
      <c r="C60" t="s">
        <v>18</v>
      </c>
      <c r="D60" t="s">
        <v>61</v>
      </c>
      <c r="E60">
        <v>5</v>
      </c>
      <c r="F60" s="5">
        <v>25</v>
      </c>
      <c r="G60" s="9">
        <v>0</v>
      </c>
      <c r="H60" s="5">
        <v>125</v>
      </c>
      <c r="I60" s="5">
        <v>75</v>
      </c>
      <c r="J60" t="s">
        <v>15</v>
      </c>
      <c r="K60" t="s">
        <v>29</v>
      </c>
      <c r="L60" t="str">
        <f t="shared" si="0"/>
        <v>2025-02</v>
      </c>
      <c r="M60" s="9">
        <f t="shared" si="1"/>
        <v>0.6</v>
      </c>
    </row>
    <row r="61" spans="1:13" x14ac:dyDescent="0.3">
      <c r="A61" t="s">
        <v>138</v>
      </c>
      <c r="B61" s="3" t="s">
        <v>139</v>
      </c>
      <c r="C61" t="s">
        <v>13</v>
      </c>
      <c r="D61" t="s">
        <v>41</v>
      </c>
      <c r="E61">
        <v>6</v>
      </c>
      <c r="F61" s="5">
        <v>450</v>
      </c>
      <c r="G61" s="9">
        <v>0.05</v>
      </c>
      <c r="H61" s="5">
        <v>2565</v>
      </c>
      <c r="I61" s="5">
        <v>1845</v>
      </c>
      <c r="J61" t="s">
        <v>15</v>
      </c>
      <c r="K61" t="s">
        <v>16</v>
      </c>
      <c r="L61" t="str">
        <f t="shared" si="0"/>
        <v>2025-02</v>
      </c>
      <c r="M61" s="9">
        <f t="shared" si="1"/>
        <v>0.7192982456140351</v>
      </c>
    </row>
    <row r="62" spans="1:13" x14ac:dyDescent="0.3">
      <c r="A62" t="s">
        <v>140</v>
      </c>
      <c r="B62" s="3" t="s">
        <v>139</v>
      </c>
      <c r="C62" t="s">
        <v>13</v>
      </c>
      <c r="D62" t="s">
        <v>41</v>
      </c>
      <c r="E62">
        <v>1</v>
      </c>
      <c r="F62" s="5">
        <v>450</v>
      </c>
      <c r="G62" s="9">
        <v>0.05</v>
      </c>
      <c r="H62" s="5">
        <v>427.5</v>
      </c>
      <c r="I62" s="5">
        <v>307.5</v>
      </c>
      <c r="J62" t="s">
        <v>20</v>
      </c>
      <c r="K62" t="s">
        <v>29</v>
      </c>
      <c r="L62" t="str">
        <f t="shared" si="0"/>
        <v>2025-02</v>
      </c>
      <c r="M62" s="9">
        <f t="shared" si="1"/>
        <v>0.7192982456140351</v>
      </c>
    </row>
    <row r="63" spans="1:13" x14ac:dyDescent="0.3">
      <c r="A63" t="s">
        <v>141</v>
      </c>
      <c r="B63" s="3" t="s">
        <v>142</v>
      </c>
      <c r="C63" t="s">
        <v>23</v>
      </c>
      <c r="D63" t="s">
        <v>24</v>
      </c>
      <c r="E63">
        <v>1</v>
      </c>
      <c r="F63" s="5">
        <v>10</v>
      </c>
      <c r="G63" s="9">
        <v>0.15</v>
      </c>
      <c r="H63" s="5">
        <v>8.5</v>
      </c>
      <c r="I63" s="5">
        <v>4.5</v>
      </c>
      <c r="J63" t="s">
        <v>20</v>
      </c>
      <c r="K63" t="s">
        <v>32</v>
      </c>
      <c r="L63" t="str">
        <f t="shared" si="0"/>
        <v>2025-02</v>
      </c>
      <c r="M63" s="9">
        <f t="shared" si="1"/>
        <v>0.52941176470588236</v>
      </c>
    </row>
    <row r="64" spans="1:13" x14ac:dyDescent="0.3">
      <c r="A64" t="s">
        <v>143</v>
      </c>
      <c r="B64" s="3" t="s">
        <v>144</v>
      </c>
      <c r="C64" t="s">
        <v>23</v>
      </c>
      <c r="D64" t="s">
        <v>58</v>
      </c>
      <c r="E64">
        <v>1</v>
      </c>
      <c r="F64" s="5">
        <v>8</v>
      </c>
      <c r="G64" s="9">
        <v>0</v>
      </c>
      <c r="H64" s="5">
        <v>8</v>
      </c>
      <c r="I64" s="5">
        <v>5</v>
      </c>
      <c r="J64" t="s">
        <v>44</v>
      </c>
      <c r="K64" t="s">
        <v>32</v>
      </c>
      <c r="L64" t="str">
        <f t="shared" si="0"/>
        <v>2025-02</v>
      </c>
      <c r="M64" s="9">
        <f t="shared" si="1"/>
        <v>0.625</v>
      </c>
    </row>
    <row r="65" spans="1:13" x14ac:dyDescent="0.3">
      <c r="A65" t="s">
        <v>145</v>
      </c>
      <c r="B65" s="3" t="s">
        <v>144</v>
      </c>
      <c r="C65" t="s">
        <v>13</v>
      </c>
      <c r="D65" t="s">
        <v>51</v>
      </c>
      <c r="E65">
        <v>8</v>
      </c>
      <c r="F65" s="5">
        <v>250</v>
      </c>
      <c r="G65" s="9">
        <v>0.15</v>
      </c>
      <c r="H65" s="5">
        <v>1700</v>
      </c>
      <c r="I65" s="5">
        <v>1140</v>
      </c>
      <c r="J65" t="s">
        <v>15</v>
      </c>
      <c r="K65" t="s">
        <v>16</v>
      </c>
      <c r="L65" t="str">
        <f t="shared" si="0"/>
        <v>2025-02</v>
      </c>
      <c r="M65" s="9">
        <f t="shared" si="1"/>
        <v>0.6705882352941176</v>
      </c>
    </row>
    <row r="66" spans="1:13" x14ac:dyDescent="0.3">
      <c r="A66" t="s">
        <v>146</v>
      </c>
      <c r="B66" s="3" t="s">
        <v>147</v>
      </c>
      <c r="C66" t="s">
        <v>18</v>
      </c>
      <c r="D66" t="s">
        <v>61</v>
      </c>
      <c r="E66">
        <v>3</v>
      </c>
      <c r="F66" s="5">
        <v>25</v>
      </c>
      <c r="G66" s="9">
        <v>0.05</v>
      </c>
      <c r="H66" s="5">
        <v>71.25</v>
      </c>
      <c r="I66" s="5">
        <v>41.25</v>
      </c>
      <c r="J66" t="s">
        <v>44</v>
      </c>
      <c r="K66" t="s">
        <v>29</v>
      </c>
      <c r="L66" t="str">
        <f t="shared" si="0"/>
        <v>2025-02</v>
      </c>
      <c r="M66" s="9">
        <f t="shared" si="1"/>
        <v>0.57894736842105265</v>
      </c>
    </row>
    <row r="67" spans="1:13" x14ac:dyDescent="0.3">
      <c r="A67" t="s">
        <v>148</v>
      </c>
      <c r="B67" s="3" t="s">
        <v>149</v>
      </c>
      <c r="C67" t="s">
        <v>13</v>
      </c>
      <c r="D67" t="s">
        <v>41</v>
      </c>
      <c r="E67">
        <v>2</v>
      </c>
      <c r="F67" s="5">
        <v>450</v>
      </c>
      <c r="G67" s="9">
        <v>0</v>
      </c>
      <c r="H67" s="5">
        <v>900</v>
      </c>
      <c r="I67" s="5">
        <v>660</v>
      </c>
      <c r="J67" t="s">
        <v>44</v>
      </c>
      <c r="K67" t="s">
        <v>29</v>
      </c>
      <c r="L67" t="str">
        <f t="shared" ref="L67:L130" si="2">TEXT(B67, "YYYY-MM")</f>
        <v>2025-02</v>
      </c>
      <c r="M67" s="9">
        <f t="shared" ref="M67:M130" si="3">I67/H67</f>
        <v>0.73333333333333328</v>
      </c>
    </row>
    <row r="68" spans="1:13" x14ac:dyDescent="0.3">
      <c r="A68" t="s">
        <v>150</v>
      </c>
      <c r="B68" s="3" t="s">
        <v>151</v>
      </c>
      <c r="C68" t="s">
        <v>18</v>
      </c>
      <c r="D68" t="s">
        <v>27</v>
      </c>
      <c r="E68">
        <v>8</v>
      </c>
      <c r="F68" s="5">
        <v>80</v>
      </c>
      <c r="G68" s="9">
        <v>0.1</v>
      </c>
      <c r="H68" s="5">
        <v>576</v>
      </c>
      <c r="I68" s="5">
        <v>336</v>
      </c>
      <c r="J68" t="s">
        <v>28</v>
      </c>
      <c r="K68" t="s">
        <v>16</v>
      </c>
      <c r="L68" t="str">
        <f t="shared" si="2"/>
        <v>2025-02</v>
      </c>
      <c r="M68" s="9">
        <f t="shared" si="3"/>
        <v>0.58333333333333337</v>
      </c>
    </row>
    <row r="69" spans="1:13" x14ac:dyDescent="0.3">
      <c r="A69" t="s">
        <v>152</v>
      </c>
      <c r="B69" s="3" t="s">
        <v>151</v>
      </c>
      <c r="C69" t="s">
        <v>18</v>
      </c>
      <c r="D69" t="s">
        <v>77</v>
      </c>
      <c r="E69">
        <v>8</v>
      </c>
      <c r="F69" s="5">
        <v>1200</v>
      </c>
      <c r="G69" s="9">
        <v>0.1</v>
      </c>
      <c r="H69" s="5">
        <v>8640</v>
      </c>
      <c r="I69" s="5">
        <v>6240</v>
      </c>
      <c r="J69" t="s">
        <v>28</v>
      </c>
      <c r="K69" t="s">
        <v>29</v>
      </c>
      <c r="L69" t="str">
        <f t="shared" si="2"/>
        <v>2025-02</v>
      </c>
      <c r="M69" s="9">
        <f t="shared" si="3"/>
        <v>0.72222222222222221</v>
      </c>
    </row>
    <row r="70" spans="1:13" x14ac:dyDescent="0.3">
      <c r="A70" t="s">
        <v>153</v>
      </c>
      <c r="B70" s="3" t="s">
        <v>154</v>
      </c>
      <c r="C70" t="s">
        <v>13</v>
      </c>
      <c r="D70" t="s">
        <v>14</v>
      </c>
      <c r="E70">
        <v>1</v>
      </c>
      <c r="F70" s="5">
        <v>110</v>
      </c>
      <c r="G70" s="9">
        <v>0.05</v>
      </c>
      <c r="H70" s="5">
        <v>104.5</v>
      </c>
      <c r="I70" s="5">
        <v>74.5</v>
      </c>
      <c r="J70" t="s">
        <v>20</v>
      </c>
      <c r="K70" t="s">
        <v>16</v>
      </c>
      <c r="L70" t="str">
        <f t="shared" si="2"/>
        <v>2025-02</v>
      </c>
      <c r="M70" s="9">
        <f t="shared" si="3"/>
        <v>0.71291866028708128</v>
      </c>
    </row>
    <row r="71" spans="1:13" x14ac:dyDescent="0.3">
      <c r="A71" t="s">
        <v>155</v>
      </c>
      <c r="B71" s="3" t="s">
        <v>156</v>
      </c>
      <c r="C71" t="s">
        <v>13</v>
      </c>
      <c r="D71" t="s">
        <v>51</v>
      </c>
      <c r="E71">
        <v>4</v>
      </c>
      <c r="F71" s="5">
        <v>250</v>
      </c>
      <c r="G71" s="9">
        <v>0.1</v>
      </c>
      <c r="H71" s="5">
        <v>900</v>
      </c>
      <c r="I71" s="5">
        <v>620</v>
      </c>
      <c r="J71" t="s">
        <v>44</v>
      </c>
      <c r="K71" t="s">
        <v>32</v>
      </c>
      <c r="L71" t="str">
        <f t="shared" si="2"/>
        <v>2025-02</v>
      </c>
      <c r="M71" s="9">
        <f t="shared" si="3"/>
        <v>0.68888888888888888</v>
      </c>
    </row>
    <row r="72" spans="1:13" x14ac:dyDescent="0.3">
      <c r="A72" t="s">
        <v>157</v>
      </c>
      <c r="B72" s="3" t="s">
        <v>158</v>
      </c>
      <c r="C72" t="s">
        <v>13</v>
      </c>
      <c r="D72" t="s">
        <v>67</v>
      </c>
      <c r="E72">
        <v>9</v>
      </c>
      <c r="F72" s="5">
        <v>35</v>
      </c>
      <c r="G72" s="9">
        <v>0.1</v>
      </c>
      <c r="H72" s="5">
        <v>283.5</v>
      </c>
      <c r="I72" s="5">
        <v>175.5</v>
      </c>
      <c r="J72" t="s">
        <v>44</v>
      </c>
      <c r="K72" t="s">
        <v>32</v>
      </c>
      <c r="L72" t="str">
        <f t="shared" si="2"/>
        <v>2025-02</v>
      </c>
      <c r="M72" s="9">
        <f t="shared" si="3"/>
        <v>0.61904761904761907</v>
      </c>
    </row>
    <row r="73" spans="1:13" x14ac:dyDescent="0.3">
      <c r="A73" t="s">
        <v>159</v>
      </c>
      <c r="B73" s="3" t="s">
        <v>158</v>
      </c>
      <c r="C73" t="s">
        <v>23</v>
      </c>
      <c r="D73" t="s">
        <v>43</v>
      </c>
      <c r="E73">
        <v>3</v>
      </c>
      <c r="F73" s="5">
        <v>20</v>
      </c>
      <c r="G73" s="9">
        <v>0</v>
      </c>
      <c r="H73" s="5">
        <v>60</v>
      </c>
      <c r="I73" s="5">
        <v>39</v>
      </c>
      <c r="J73" t="s">
        <v>15</v>
      </c>
      <c r="K73" t="s">
        <v>16</v>
      </c>
      <c r="L73" t="str">
        <f t="shared" si="2"/>
        <v>2025-02</v>
      </c>
      <c r="M73" s="9">
        <f t="shared" si="3"/>
        <v>0.65</v>
      </c>
    </row>
    <row r="74" spans="1:13" x14ac:dyDescent="0.3">
      <c r="A74" t="s">
        <v>160</v>
      </c>
      <c r="B74" s="3" t="s">
        <v>161</v>
      </c>
      <c r="C74" t="s">
        <v>13</v>
      </c>
      <c r="D74" t="s">
        <v>67</v>
      </c>
      <c r="E74">
        <v>5</v>
      </c>
      <c r="F74" s="5">
        <v>35</v>
      </c>
      <c r="G74" s="9">
        <v>0.1</v>
      </c>
      <c r="H74" s="5">
        <v>157.5</v>
      </c>
      <c r="I74" s="5">
        <v>97.5</v>
      </c>
      <c r="J74" t="s">
        <v>20</v>
      </c>
      <c r="K74" t="s">
        <v>29</v>
      </c>
      <c r="L74" t="str">
        <f t="shared" si="2"/>
        <v>2025-02</v>
      </c>
      <c r="M74" s="9">
        <f t="shared" si="3"/>
        <v>0.61904761904761907</v>
      </c>
    </row>
    <row r="75" spans="1:13" x14ac:dyDescent="0.3">
      <c r="A75" t="s">
        <v>162</v>
      </c>
      <c r="B75" s="3" t="s">
        <v>163</v>
      </c>
      <c r="C75" t="s">
        <v>18</v>
      </c>
      <c r="D75" t="s">
        <v>61</v>
      </c>
      <c r="E75">
        <v>7</v>
      </c>
      <c r="F75" s="5">
        <v>25</v>
      </c>
      <c r="G75" s="9">
        <v>0.2</v>
      </c>
      <c r="H75" s="5">
        <v>140</v>
      </c>
      <c r="I75" s="5">
        <v>70</v>
      </c>
      <c r="J75" t="s">
        <v>15</v>
      </c>
      <c r="K75" t="s">
        <v>29</v>
      </c>
      <c r="L75" t="str">
        <f t="shared" si="2"/>
        <v>2025-02</v>
      </c>
      <c r="M75" s="9">
        <f t="shared" si="3"/>
        <v>0.5</v>
      </c>
    </row>
    <row r="76" spans="1:13" x14ac:dyDescent="0.3">
      <c r="A76" t="s">
        <v>164</v>
      </c>
      <c r="B76" s="3" t="s">
        <v>163</v>
      </c>
      <c r="C76" t="s">
        <v>13</v>
      </c>
      <c r="D76" t="s">
        <v>38</v>
      </c>
      <c r="E76">
        <v>2</v>
      </c>
      <c r="F76" s="5">
        <v>150</v>
      </c>
      <c r="G76" s="9">
        <v>0.2</v>
      </c>
      <c r="H76" s="5">
        <v>240</v>
      </c>
      <c r="I76" s="5">
        <v>160</v>
      </c>
      <c r="J76" t="s">
        <v>20</v>
      </c>
      <c r="K76" t="s">
        <v>32</v>
      </c>
      <c r="L76" t="str">
        <f t="shared" si="2"/>
        <v>2025-02</v>
      </c>
      <c r="M76" s="9">
        <f t="shared" si="3"/>
        <v>0.66666666666666663</v>
      </c>
    </row>
    <row r="77" spans="1:13" x14ac:dyDescent="0.3">
      <c r="A77" t="s">
        <v>165</v>
      </c>
      <c r="B77" s="3" t="s">
        <v>166</v>
      </c>
      <c r="C77" t="s">
        <v>23</v>
      </c>
      <c r="D77" t="s">
        <v>31</v>
      </c>
      <c r="E77">
        <v>8</v>
      </c>
      <c r="F77" s="5">
        <v>25</v>
      </c>
      <c r="G77" s="9">
        <v>0</v>
      </c>
      <c r="H77" s="5">
        <v>200</v>
      </c>
      <c r="I77" s="5">
        <v>136</v>
      </c>
      <c r="J77" t="s">
        <v>28</v>
      </c>
      <c r="K77" t="s">
        <v>29</v>
      </c>
      <c r="L77" t="str">
        <f t="shared" si="2"/>
        <v>2025-02</v>
      </c>
      <c r="M77" s="9">
        <f t="shared" si="3"/>
        <v>0.68</v>
      </c>
    </row>
    <row r="78" spans="1:13" x14ac:dyDescent="0.3">
      <c r="A78" t="s">
        <v>167</v>
      </c>
      <c r="B78" s="3" t="s">
        <v>168</v>
      </c>
      <c r="C78" t="s">
        <v>18</v>
      </c>
      <c r="D78" t="s">
        <v>19</v>
      </c>
      <c r="E78">
        <v>6</v>
      </c>
      <c r="F78" s="5">
        <v>40</v>
      </c>
      <c r="G78" s="9">
        <v>0.2</v>
      </c>
      <c r="H78" s="5">
        <v>192</v>
      </c>
      <c r="I78" s="5">
        <v>102</v>
      </c>
      <c r="J78" t="s">
        <v>44</v>
      </c>
      <c r="K78" t="s">
        <v>16</v>
      </c>
      <c r="L78" t="str">
        <f t="shared" si="2"/>
        <v>2025-02</v>
      </c>
      <c r="M78" s="9">
        <f t="shared" si="3"/>
        <v>0.53125</v>
      </c>
    </row>
    <row r="79" spans="1:13" x14ac:dyDescent="0.3">
      <c r="A79" t="s">
        <v>169</v>
      </c>
      <c r="B79" s="3" t="s">
        <v>170</v>
      </c>
      <c r="C79" t="s">
        <v>23</v>
      </c>
      <c r="D79" t="s">
        <v>35</v>
      </c>
      <c r="E79">
        <v>4</v>
      </c>
      <c r="F79" s="5">
        <v>15</v>
      </c>
      <c r="G79" s="9">
        <v>0</v>
      </c>
      <c r="H79" s="5">
        <v>60</v>
      </c>
      <c r="I79" s="5">
        <v>40</v>
      </c>
      <c r="J79" t="s">
        <v>20</v>
      </c>
      <c r="K79" t="s">
        <v>29</v>
      </c>
      <c r="L79" t="str">
        <f t="shared" si="2"/>
        <v>2025-02</v>
      </c>
      <c r="M79" s="9">
        <f t="shared" si="3"/>
        <v>0.66666666666666663</v>
      </c>
    </row>
    <row r="80" spans="1:13" x14ac:dyDescent="0.3">
      <c r="A80" t="s">
        <v>171</v>
      </c>
      <c r="B80" s="3" t="s">
        <v>170</v>
      </c>
      <c r="C80" t="s">
        <v>13</v>
      </c>
      <c r="D80" t="s">
        <v>38</v>
      </c>
      <c r="E80">
        <v>3</v>
      </c>
      <c r="F80" s="5">
        <v>150</v>
      </c>
      <c r="G80" s="9">
        <v>0</v>
      </c>
      <c r="H80" s="5">
        <v>450</v>
      </c>
      <c r="I80" s="5">
        <v>330</v>
      </c>
      <c r="J80" t="s">
        <v>44</v>
      </c>
      <c r="K80" t="s">
        <v>16</v>
      </c>
      <c r="L80" t="str">
        <f t="shared" si="2"/>
        <v>2025-02</v>
      </c>
      <c r="M80" s="9">
        <f t="shared" si="3"/>
        <v>0.73333333333333328</v>
      </c>
    </row>
    <row r="81" spans="1:13" x14ac:dyDescent="0.3">
      <c r="A81" t="s">
        <v>172</v>
      </c>
      <c r="B81" s="3" t="s">
        <v>173</v>
      </c>
      <c r="C81" t="s">
        <v>13</v>
      </c>
      <c r="D81" t="s">
        <v>41</v>
      </c>
      <c r="E81">
        <v>4</v>
      </c>
      <c r="F81" s="5">
        <v>450</v>
      </c>
      <c r="G81" s="9">
        <v>0</v>
      </c>
      <c r="H81" s="5">
        <v>1800</v>
      </c>
      <c r="I81" s="5">
        <v>1320</v>
      </c>
      <c r="J81" t="s">
        <v>15</v>
      </c>
      <c r="K81" t="s">
        <v>29</v>
      </c>
      <c r="L81" t="str">
        <f t="shared" si="2"/>
        <v>2025-02</v>
      </c>
      <c r="M81" s="9">
        <f t="shared" si="3"/>
        <v>0.73333333333333328</v>
      </c>
    </row>
    <row r="82" spans="1:13" x14ac:dyDescent="0.3">
      <c r="A82" t="s">
        <v>174</v>
      </c>
      <c r="B82" s="3" t="s">
        <v>175</v>
      </c>
      <c r="C82" t="s">
        <v>23</v>
      </c>
      <c r="D82" t="s">
        <v>31</v>
      </c>
      <c r="E82">
        <v>9</v>
      </c>
      <c r="F82" s="5">
        <v>25</v>
      </c>
      <c r="G82" s="9">
        <v>0</v>
      </c>
      <c r="H82" s="5">
        <v>225</v>
      </c>
      <c r="I82" s="5">
        <v>153</v>
      </c>
      <c r="J82" t="s">
        <v>15</v>
      </c>
      <c r="K82" t="s">
        <v>32</v>
      </c>
      <c r="L82" t="str">
        <f t="shared" si="2"/>
        <v>2025-02</v>
      </c>
      <c r="M82" s="9">
        <f t="shared" si="3"/>
        <v>0.68</v>
      </c>
    </row>
    <row r="83" spans="1:13" x14ac:dyDescent="0.3">
      <c r="A83" t="s">
        <v>176</v>
      </c>
      <c r="B83" s="3" t="s">
        <v>177</v>
      </c>
      <c r="C83" t="s">
        <v>18</v>
      </c>
      <c r="D83" t="s">
        <v>61</v>
      </c>
      <c r="E83">
        <v>5</v>
      </c>
      <c r="F83" s="5">
        <v>25</v>
      </c>
      <c r="G83" s="9">
        <v>0</v>
      </c>
      <c r="H83" s="5">
        <v>125</v>
      </c>
      <c r="I83" s="5">
        <v>75</v>
      </c>
      <c r="J83" t="s">
        <v>28</v>
      </c>
      <c r="K83" t="s">
        <v>32</v>
      </c>
      <c r="L83" t="str">
        <f t="shared" si="2"/>
        <v>2025-03</v>
      </c>
      <c r="M83" s="9">
        <f t="shared" si="3"/>
        <v>0.6</v>
      </c>
    </row>
    <row r="84" spans="1:13" x14ac:dyDescent="0.3">
      <c r="A84" t="s">
        <v>178</v>
      </c>
      <c r="B84" s="3" t="s">
        <v>177</v>
      </c>
      <c r="C84" t="s">
        <v>18</v>
      </c>
      <c r="D84" t="s">
        <v>27</v>
      </c>
      <c r="E84">
        <v>4</v>
      </c>
      <c r="F84" s="5">
        <v>80</v>
      </c>
      <c r="G84" s="9">
        <v>0</v>
      </c>
      <c r="H84" s="5">
        <v>320</v>
      </c>
      <c r="I84" s="5">
        <v>200</v>
      </c>
      <c r="J84" t="s">
        <v>15</v>
      </c>
      <c r="K84" t="s">
        <v>16</v>
      </c>
      <c r="L84" t="str">
        <f t="shared" si="2"/>
        <v>2025-03</v>
      </c>
      <c r="M84" s="9">
        <f t="shared" si="3"/>
        <v>0.625</v>
      </c>
    </row>
    <row r="85" spans="1:13" x14ac:dyDescent="0.3">
      <c r="A85" t="s">
        <v>179</v>
      </c>
      <c r="B85" s="3" t="s">
        <v>180</v>
      </c>
      <c r="C85" t="s">
        <v>18</v>
      </c>
      <c r="D85" t="s">
        <v>77</v>
      </c>
      <c r="E85">
        <v>5</v>
      </c>
      <c r="F85" s="5">
        <v>1200</v>
      </c>
      <c r="G85" s="9">
        <v>0.05</v>
      </c>
      <c r="H85" s="5">
        <v>5700</v>
      </c>
      <c r="I85" s="5">
        <v>4200</v>
      </c>
      <c r="J85" t="s">
        <v>44</v>
      </c>
      <c r="K85" t="s">
        <v>29</v>
      </c>
      <c r="L85" t="str">
        <f t="shared" si="2"/>
        <v>2025-03</v>
      </c>
      <c r="M85" s="9">
        <f t="shared" si="3"/>
        <v>0.73684210526315785</v>
      </c>
    </row>
    <row r="86" spans="1:13" x14ac:dyDescent="0.3">
      <c r="A86" t="s">
        <v>181</v>
      </c>
      <c r="B86" s="3" t="s">
        <v>182</v>
      </c>
      <c r="C86" t="s">
        <v>23</v>
      </c>
      <c r="D86" t="s">
        <v>24</v>
      </c>
      <c r="E86">
        <v>8</v>
      </c>
      <c r="F86" s="5">
        <v>10</v>
      </c>
      <c r="G86" s="9">
        <v>0</v>
      </c>
      <c r="H86" s="5">
        <v>80</v>
      </c>
      <c r="I86" s="5">
        <v>48</v>
      </c>
      <c r="J86" t="s">
        <v>15</v>
      </c>
      <c r="K86" t="s">
        <v>16</v>
      </c>
      <c r="L86" t="str">
        <f t="shared" si="2"/>
        <v>2025-03</v>
      </c>
      <c r="M86" s="9">
        <f t="shared" si="3"/>
        <v>0.6</v>
      </c>
    </row>
    <row r="87" spans="1:13" x14ac:dyDescent="0.3">
      <c r="A87" t="s">
        <v>183</v>
      </c>
      <c r="B87" s="3" t="s">
        <v>184</v>
      </c>
      <c r="C87" t="s">
        <v>18</v>
      </c>
      <c r="D87" t="s">
        <v>128</v>
      </c>
      <c r="E87">
        <v>8</v>
      </c>
      <c r="F87" s="5">
        <v>350</v>
      </c>
      <c r="G87" s="9">
        <v>0</v>
      </c>
      <c r="H87" s="5">
        <v>2800</v>
      </c>
      <c r="I87" s="5">
        <v>2080</v>
      </c>
      <c r="J87" t="s">
        <v>20</v>
      </c>
      <c r="K87" t="s">
        <v>16</v>
      </c>
      <c r="L87" t="str">
        <f t="shared" si="2"/>
        <v>2025-03</v>
      </c>
      <c r="M87" s="9">
        <f t="shared" si="3"/>
        <v>0.74285714285714288</v>
      </c>
    </row>
    <row r="88" spans="1:13" x14ac:dyDescent="0.3">
      <c r="A88" t="s">
        <v>185</v>
      </c>
      <c r="B88" s="3" t="s">
        <v>184</v>
      </c>
      <c r="C88" t="s">
        <v>23</v>
      </c>
      <c r="D88" t="s">
        <v>58</v>
      </c>
      <c r="E88">
        <v>6</v>
      </c>
      <c r="F88" s="5">
        <v>8</v>
      </c>
      <c r="G88" s="9">
        <v>0</v>
      </c>
      <c r="H88" s="5">
        <v>48</v>
      </c>
      <c r="I88" s="5">
        <v>30</v>
      </c>
      <c r="J88" t="s">
        <v>15</v>
      </c>
      <c r="K88" t="s">
        <v>29</v>
      </c>
      <c r="L88" t="str">
        <f t="shared" si="2"/>
        <v>2025-03</v>
      </c>
      <c r="M88" s="9">
        <f t="shared" si="3"/>
        <v>0.625</v>
      </c>
    </row>
    <row r="89" spans="1:13" x14ac:dyDescent="0.3">
      <c r="A89" t="s">
        <v>186</v>
      </c>
      <c r="B89" s="3" t="s">
        <v>187</v>
      </c>
      <c r="C89" t="s">
        <v>13</v>
      </c>
      <c r="D89" t="s">
        <v>14</v>
      </c>
      <c r="E89">
        <v>3</v>
      </c>
      <c r="F89" s="5">
        <v>110</v>
      </c>
      <c r="G89" s="9">
        <v>0.1</v>
      </c>
      <c r="H89" s="5">
        <v>297</v>
      </c>
      <c r="I89" s="5">
        <v>207</v>
      </c>
      <c r="J89" t="s">
        <v>28</v>
      </c>
      <c r="K89" t="s">
        <v>29</v>
      </c>
      <c r="L89" t="str">
        <f t="shared" si="2"/>
        <v>2025-03</v>
      </c>
      <c r="M89" s="9">
        <f t="shared" si="3"/>
        <v>0.69696969696969702</v>
      </c>
    </row>
    <row r="90" spans="1:13" x14ac:dyDescent="0.3">
      <c r="A90" t="s">
        <v>188</v>
      </c>
      <c r="B90" s="3" t="s">
        <v>189</v>
      </c>
      <c r="C90" t="s">
        <v>13</v>
      </c>
      <c r="D90" t="s">
        <v>41</v>
      </c>
      <c r="E90">
        <v>8</v>
      </c>
      <c r="F90" s="5">
        <v>450</v>
      </c>
      <c r="G90" s="9">
        <v>0</v>
      </c>
      <c r="H90" s="5">
        <v>3060</v>
      </c>
      <c r="I90" s="5">
        <v>2100</v>
      </c>
      <c r="J90" t="s">
        <v>20</v>
      </c>
      <c r="K90" t="s">
        <v>16</v>
      </c>
      <c r="L90" t="str">
        <f t="shared" si="2"/>
        <v>2025-03</v>
      </c>
      <c r="M90" s="9">
        <f t="shared" si="3"/>
        <v>0.68627450980392157</v>
      </c>
    </row>
    <row r="91" spans="1:13" x14ac:dyDescent="0.3">
      <c r="A91" t="s">
        <v>190</v>
      </c>
      <c r="B91" s="3" t="s">
        <v>189</v>
      </c>
      <c r="C91" t="s">
        <v>13</v>
      </c>
      <c r="D91" t="s">
        <v>51</v>
      </c>
      <c r="E91">
        <v>2</v>
      </c>
      <c r="F91" s="5">
        <v>250</v>
      </c>
      <c r="G91" s="9">
        <v>0.2</v>
      </c>
      <c r="H91" s="5">
        <v>400</v>
      </c>
      <c r="I91" s="5">
        <v>260</v>
      </c>
      <c r="J91" t="s">
        <v>15</v>
      </c>
      <c r="K91" t="s">
        <v>29</v>
      </c>
      <c r="L91" t="str">
        <f t="shared" si="2"/>
        <v>2025-03</v>
      </c>
      <c r="M91" s="9">
        <f t="shared" si="3"/>
        <v>0.65</v>
      </c>
    </row>
    <row r="92" spans="1:13" x14ac:dyDescent="0.3">
      <c r="A92" t="s">
        <v>191</v>
      </c>
      <c r="B92" s="3" t="s">
        <v>192</v>
      </c>
      <c r="C92" t="s">
        <v>13</v>
      </c>
      <c r="D92" t="s">
        <v>38</v>
      </c>
      <c r="E92">
        <v>1</v>
      </c>
      <c r="F92" s="5">
        <v>150</v>
      </c>
      <c r="G92" s="9">
        <v>0.1</v>
      </c>
      <c r="H92" s="5">
        <v>135</v>
      </c>
      <c r="I92" s="5">
        <v>95</v>
      </c>
      <c r="J92" t="s">
        <v>44</v>
      </c>
      <c r="K92" t="s">
        <v>29</v>
      </c>
      <c r="L92" t="str">
        <f t="shared" si="2"/>
        <v>2025-03</v>
      </c>
      <c r="M92" s="9">
        <f t="shared" si="3"/>
        <v>0.70370370370370372</v>
      </c>
    </row>
    <row r="93" spans="1:13" x14ac:dyDescent="0.3">
      <c r="A93" t="s">
        <v>193</v>
      </c>
      <c r="B93" s="3" t="s">
        <v>194</v>
      </c>
      <c r="C93" t="s">
        <v>18</v>
      </c>
      <c r="D93" t="s">
        <v>128</v>
      </c>
      <c r="E93">
        <v>1</v>
      </c>
      <c r="F93" s="5">
        <v>350</v>
      </c>
      <c r="G93" s="9">
        <v>0.05</v>
      </c>
      <c r="H93" s="5">
        <v>332.5</v>
      </c>
      <c r="I93" s="5">
        <v>242.5</v>
      </c>
      <c r="J93" t="s">
        <v>20</v>
      </c>
      <c r="K93" t="s">
        <v>32</v>
      </c>
      <c r="L93" t="str">
        <f t="shared" si="2"/>
        <v>2025-03</v>
      </c>
      <c r="M93" s="9">
        <f t="shared" si="3"/>
        <v>0.72932330827067671</v>
      </c>
    </row>
    <row r="94" spans="1:13" x14ac:dyDescent="0.3">
      <c r="A94" t="s">
        <v>195</v>
      </c>
      <c r="B94" s="3" t="s">
        <v>196</v>
      </c>
      <c r="C94" t="s">
        <v>13</v>
      </c>
      <c r="D94" t="s">
        <v>14</v>
      </c>
      <c r="E94">
        <v>5</v>
      </c>
      <c r="F94" s="5">
        <v>110</v>
      </c>
      <c r="G94" s="9">
        <v>0.1</v>
      </c>
      <c r="H94" s="5">
        <v>495</v>
      </c>
      <c r="I94" s="5">
        <v>345</v>
      </c>
      <c r="J94" t="s">
        <v>44</v>
      </c>
      <c r="K94" t="s">
        <v>16</v>
      </c>
      <c r="L94" t="str">
        <f t="shared" si="2"/>
        <v>2025-03</v>
      </c>
      <c r="M94" s="9">
        <f t="shared" si="3"/>
        <v>0.69696969696969702</v>
      </c>
    </row>
    <row r="95" spans="1:13" x14ac:dyDescent="0.3">
      <c r="A95" t="s">
        <v>197</v>
      </c>
      <c r="B95" s="3" t="s">
        <v>196</v>
      </c>
      <c r="C95" t="s">
        <v>18</v>
      </c>
      <c r="D95" t="s">
        <v>77</v>
      </c>
      <c r="E95">
        <v>3</v>
      </c>
      <c r="F95" s="5">
        <v>1200</v>
      </c>
      <c r="G95" s="9">
        <v>0</v>
      </c>
      <c r="H95" s="5">
        <v>3600</v>
      </c>
      <c r="I95" s="5">
        <v>2700</v>
      </c>
      <c r="J95" t="s">
        <v>15</v>
      </c>
      <c r="K95" t="s">
        <v>32</v>
      </c>
      <c r="L95" t="str">
        <f t="shared" si="2"/>
        <v>2025-03</v>
      </c>
      <c r="M95" s="9">
        <f t="shared" si="3"/>
        <v>0.75</v>
      </c>
    </row>
    <row r="96" spans="1:13" x14ac:dyDescent="0.3">
      <c r="A96" t="s">
        <v>198</v>
      </c>
      <c r="B96" s="3" t="s">
        <v>199</v>
      </c>
      <c r="C96" t="s">
        <v>23</v>
      </c>
      <c r="D96" t="s">
        <v>24</v>
      </c>
      <c r="E96">
        <v>8</v>
      </c>
      <c r="F96" s="5">
        <v>10</v>
      </c>
      <c r="G96" s="9">
        <v>0</v>
      </c>
      <c r="H96" s="5">
        <v>80</v>
      </c>
      <c r="I96" s="5">
        <v>48</v>
      </c>
      <c r="J96" t="s">
        <v>44</v>
      </c>
      <c r="K96" t="s">
        <v>29</v>
      </c>
      <c r="L96" t="str">
        <f t="shared" si="2"/>
        <v>2025-03</v>
      </c>
      <c r="M96" s="9">
        <f t="shared" si="3"/>
        <v>0.6</v>
      </c>
    </row>
    <row r="97" spans="1:13" x14ac:dyDescent="0.3">
      <c r="A97" t="s">
        <v>200</v>
      </c>
      <c r="B97" s="3" t="s">
        <v>201</v>
      </c>
      <c r="C97" t="s">
        <v>23</v>
      </c>
      <c r="D97" t="s">
        <v>24</v>
      </c>
      <c r="E97">
        <v>1</v>
      </c>
      <c r="F97" s="5">
        <v>10</v>
      </c>
      <c r="G97" s="9">
        <v>0.05</v>
      </c>
      <c r="H97" s="5">
        <v>9.5</v>
      </c>
      <c r="I97" s="5">
        <v>5.5</v>
      </c>
      <c r="J97" t="s">
        <v>20</v>
      </c>
      <c r="K97" t="s">
        <v>32</v>
      </c>
      <c r="L97" t="str">
        <f t="shared" si="2"/>
        <v>2025-03</v>
      </c>
      <c r="M97" s="9">
        <f t="shared" si="3"/>
        <v>0.57894736842105265</v>
      </c>
    </row>
    <row r="98" spans="1:13" x14ac:dyDescent="0.3">
      <c r="A98" t="s">
        <v>202</v>
      </c>
      <c r="B98" s="3" t="s">
        <v>203</v>
      </c>
      <c r="C98" t="s">
        <v>13</v>
      </c>
      <c r="D98" t="s">
        <v>14</v>
      </c>
      <c r="E98">
        <v>5</v>
      </c>
      <c r="F98" s="5">
        <v>110</v>
      </c>
      <c r="G98" s="9">
        <v>0.05</v>
      </c>
      <c r="H98" s="5">
        <v>522.5</v>
      </c>
      <c r="I98" s="5">
        <v>372.5</v>
      </c>
      <c r="J98" t="s">
        <v>28</v>
      </c>
      <c r="K98" t="s">
        <v>32</v>
      </c>
      <c r="L98" t="str">
        <f t="shared" si="2"/>
        <v>2025-03</v>
      </c>
      <c r="M98" s="9">
        <f t="shared" si="3"/>
        <v>0.71291866028708128</v>
      </c>
    </row>
    <row r="99" spans="1:13" x14ac:dyDescent="0.3">
      <c r="A99" t="s">
        <v>204</v>
      </c>
      <c r="B99" s="3" t="s">
        <v>203</v>
      </c>
      <c r="C99" t="s">
        <v>13</v>
      </c>
      <c r="D99" t="s">
        <v>41</v>
      </c>
      <c r="E99">
        <v>6</v>
      </c>
      <c r="F99" s="5">
        <v>450</v>
      </c>
      <c r="G99" s="9">
        <v>0.05</v>
      </c>
      <c r="H99" s="5">
        <v>2565</v>
      </c>
      <c r="I99" s="5">
        <v>1845</v>
      </c>
      <c r="J99" t="s">
        <v>20</v>
      </c>
      <c r="K99" t="s">
        <v>29</v>
      </c>
      <c r="L99" t="str">
        <f t="shared" si="2"/>
        <v>2025-03</v>
      </c>
      <c r="M99" s="9">
        <f t="shared" si="3"/>
        <v>0.7192982456140351</v>
      </c>
    </row>
    <row r="100" spans="1:13" x14ac:dyDescent="0.3">
      <c r="A100" t="s">
        <v>205</v>
      </c>
      <c r="B100" s="3" t="s">
        <v>206</v>
      </c>
      <c r="C100" t="s">
        <v>18</v>
      </c>
      <c r="D100" t="s">
        <v>61</v>
      </c>
      <c r="E100">
        <v>4</v>
      </c>
      <c r="F100" s="5">
        <v>25</v>
      </c>
      <c r="G100" s="9">
        <v>0.05</v>
      </c>
      <c r="H100" s="5">
        <v>95</v>
      </c>
      <c r="I100" s="5">
        <v>55</v>
      </c>
      <c r="J100" t="s">
        <v>44</v>
      </c>
      <c r="K100" t="s">
        <v>32</v>
      </c>
      <c r="L100" t="str">
        <f t="shared" si="2"/>
        <v>2025-03</v>
      </c>
      <c r="M100" s="9">
        <f t="shared" si="3"/>
        <v>0.57894736842105265</v>
      </c>
    </row>
    <row r="101" spans="1:13" x14ac:dyDescent="0.3">
      <c r="A101" t="s">
        <v>207</v>
      </c>
      <c r="B101" s="3" t="s">
        <v>208</v>
      </c>
      <c r="C101" t="s">
        <v>18</v>
      </c>
      <c r="D101" t="s">
        <v>61</v>
      </c>
      <c r="E101">
        <v>3</v>
      </c>
      <c r="F101" s="5">
        <v>25</v>
      </c>
      <c r="G101" s="9">
        <v>0.05</v>
      </c>
      <c r="H101" s="5">
        <v>71.25</v>
      </c>
      <c r="I101" s="5">
        <v>41.25</v>
      </c>
      <c r="J101" t="s">
        <v>20</v>
      </c>
      <c r="K101" t="s">
        <v>29</v>
      </c>
      <c r="L101" t="str">
        <f t="shared" si="2"/>
        <v>2025-03</v>
      </c>
      <c r="M101" s="9">
        <f t="shared" si="3"/>
        <v>0.57894736842105265</v>
      </c>
    </row>
    <row r="102" spans="1:13" x14ac:dyDescent="0.3">
      <c r="A102" t="s">
        <v>209</v>
      </c>
      <c r="B102" s="3" t="s">
        <v>208</v>
      </c>
      <c r="C102" t="s">
        <v>23</v>
      </c>
      <c r="D102" t="s">
        <v>35</v>
      </c>
      <c r="E102">
        <v>4</v>
      </c>
      <c r="F102" s="5">
        <v>15</v>
      </c>
      <c r="G102" s="9">
        <v>0</v>
      </c>
      <c r="H102" s="5">
        <v>60</v>
      </c>
      <c r="I102" s="5">
        <v>40</v>
      </c>
      <c r="J102" t="s">
        <v>28</v>
      </c>
      <c r="K102" t="s">
        <v>29</v>
      </c>
      <c r="L102" t="str">
        <f t="shared" si="2"/>
        <v>2025-03</v>
      </c>
      <c r="M102" s="9">
        <f t="shared" si="3"/>
        <v>0.66666666666666663</v>
      </c>
    </row>
    <row r="103" spans="1:13" x14ac:dyDescent="0.3">
      <c r="A103" t="s">
        <v>210</v>
      </c>
      <c r="B103" s="3" t="s">
        <v>211</v>
      </c>
      <c r="C103" t="s">
        <v>18</v>
      </c>
      <c r="D103" t="s">
        <v>27</v>
      </c>
      <c r="E103">
        <v>3</v>
      </c>
      <c r="F103" s="5">
        <v>80</v>
      </c>
      <c r="G103" s="9">
        <v>0.05</v>
      </c>
      <c r="H103" s="5">
        <v>228</v>
      </c>
      <c r="I103" s="5">
        <v>138</v>
      </c>
      <c r="J103" t="s">
        <v>44</v>
      </c>
      <c r="K103" t="s">
        <v>29</v>
      </c>
      <c r="L103" t="str">
        <f t="shared" si="2"/>
        <v>2025-03</v>
      </c>
      <c r="M103" s="9">
        <f t="shared" si="3"/>
        <v>0.60526315789473684</v>
      </c>
    </row>
    <row r="104" spans="1:13" x14ac:dyDescent="0.3">
      <c r="A104" t="s">
        <v>212</v>
      </c>
      <c r="B104" s="3" t="s">
        <v>213</v>
      </c>
      <c r="C104" t="s">
        <v>13</v>
      </c>
      <c r="D104" t="s">
        <v>67</v>
      </c>
      <c r="E104">
        <v>8</v>
      </c>
      <c r="F104" s="5">
        <v>35</v>
      </c>
      <c r="G104" s="9">
        <v>0.05</v>
      </c>
      <c r="H104" s="5">
        <v>266</v>
      </c>
      <c r="I104" s="5">
        <v>170</v>
      </c>
      <c r="J104" t="s">
        <v>44</v>
      </c>
      <c r="K104" t="s">
        <v>32</v>
      </c>
      <c r="L104" t="str">
        <f t="shared" si="2"/>
        <v>2025-03</v>
      </c>
      <c r="M104" s="9">
        <f t="shared" si="3"/>
        <v>0.63909774436090228</v>
      </c>
    </row>
    <row r="105" spans="1:13" x14ac:dyDescent="0.3">
      <c r="A105" t="s">
        <v>214</v>
      </c>
      <c r="B105" s="3" t="s">
        <v>215</v>
      </c>
      <c r="C105" t="s">
        <v>13</v>
      </c>
      <c r="D105" t="s">
        <v>41</v>
      </c>
      <c r="E105">
        <v>3</v>
      </c>
      <c r="F105" s="5">
        <v>450</v>
      </c>
      <c r="G105" s="9">
        <v>0</v>
      </c>
      <c r="H105" s="5">
        <v>1350</v>
      </c>
      <c r="I105" s="5">
        <v>990</v>
      </c>
      <c r="J105" t="s">
        <v>15</v>
      </c>
      <c r="K105" t="s">
        <v>16</v>
      </c>
      <c r="L105" t="str">
        <f t="shared" si="2"/>
        <v>2025-03</v>
      </c>
      <c r="M105" s="9">
        <f t="shared" si="3"/>
        <v>0.73333333333333328</v>
      </c>
    </row>
    <row r="106" spans="1:13" x14ac:dyDescent="0.3">
      <c r="A106" t="s">
        <v>216</v>
      </c>
      <c r="B106" s="3" t="s">
        <v>215</v>
      </c>
      <c r="C106" t="s">
        <v>18</v>
      </c>
      <c r="D106" t="s">
        <v>19</v>
      </c>
      <c r="E106">
        <v>6</v>
      </c>
      <c r="F106" s="5">
        <v>40</v>
      </c>
      <c r="G106" s="9">
        <v>0</v>
      </c>
      <c r="H106" s="5">
        <v>240</v>
      </c>
      <c r="I106" s="5">
        <v>150</v>
      </c>
      <c r="J106" t="s">
        <v>44</v>
      </c>
      <c r="K106" t="s">
        <v>16</v>
      </c>
      <c r="L106" t="str">
        <f t="shared" si="2"/>
        <v>2025-03</v>
      </c>
      <c r="M106" s="9">
        <f t="shared" si="3"/>
        <v>0.625</v>
      </c>
    </row>
    <row r="107" spans="1:13" x14ac:dyDescent="0.3">
      <c r="A107" t="s">
        <v>217</v>
      </c>
      <c r="B107" s="3" t="s">
        <v>218</v>
      </c>
      <c r="C107" t="s">
        <v>13</v>
      </c>
      <c r="D107" t="s">
        <v>41</v>
      </c>
      <c r="E107">
        <v>9</v>
      </c>
      <c r="F107" s="5">
        <v>450</v>
      </c>
      <c r="G107" s="9">
        <v>0</v>
      </c>
      <c r="H107" s="5">
        <v>4050</v>
      </c>
      <c r="I107" s="5">
        <v>2970</v>
      </c>
      <c r="J107" t="s">
        <v>44</v>
      </c>
      <c r="K107" t="s">
        <v>29</v>
      </c>
      <c r="L107" t="str">
        <f t="shared" si="2"/>
        <v>2025-03</v>
      </c>
      <c r="M107" s="9">
        <f t="shared" si="3"/>
        <v>0.73333333333333328</v>
      </c>
    </row>
    <row r="108" spans="1:13" x14ac:dyDescent="0.3">
      <c r="A108" t="s">
        <v>219</v>
      </c>
      <c r="B108" s="3" t="s">
        <v>220</v>
      </c>
      <c r="C108" t="s">
        <v>13</v>
      </c>
      <c r="D108" t="s">
        <v>38</v>
      </c>
      <c r="E108">
        <v>1</v>
      </c>
      <c r="F108" s="5">
        <v>150</v>
      </c>
      <c r="G108" s="9">
        <v>0</v>
      </c>
      <c r="H108" s="5">
        <v>150</v>
      </c>
      <c r="I108" s="5">
        <v>110</v>
      </c>
      <c r="J108" t="s">
        <v>28</v>
      </c>
      <c r="K108" t="s">
        <v>29</v>
      </c>
      <c r="L108" t="str">
        <f t="shared" si="2"/>
        <v>2025-03</v>
      </c>
      <c r="M108" s="9">
        <f t="shared" si="3"/>
        <v>0.73333333333333328</v>
      </c>
    </row>
    <row r="109" spans="1:13" x14ac:dyDescent="0.3">
      <c r="A109" t="s">
        <v>221</v>
      </c>
      <c r="B109" s="3" t="s">
        <v>222</v>
      </c>
      <c r="C109" t="s">
        <v>18</v>
      </c>
      <c r="D109" t="s">
        <v>61</v>
      </c>
      <c r="E109">
        <v>7</v>
      </c>
      <c r="F109" s="5">
        <v>25</v>
      </c>
      <c r="G109" s="9">
        <v>0.05</v>
      </c>
      <c r="H109" s="5">
        <v>166.25</v>
      </c>
      <c r="I109" s="5">
        <v>96.25</v>
      </c>
      <c r="J109" t="s">
        <v>20</v>
      </c>
      <c r="K109" t="s">
        <v>16</v>
      </c>
      <c r="L109" t="str">
        <f t="shared" si="2"/>
        <v>2025-03</v>
      </c>
      <c r="M109" s="9">
        <f t="shared" si="3"/>
        <v>0.57894736842105265</v>
      </c>
    </row>
    <row r="110" spans="1:13" x14ac:dyDescent="0.3">
      <c r="A110" t="s">
        <v>223</v>
      </c>
      <c r="B110" s="3" t="s">
        <v>222</v>
      </c>
      <c r="C110" t="s">
        <v>18</v>
      </c>
      <c r="D110" t="s">
        <v>27</v>
      </c>
      <c r="E110">
        <v>7</v>
      </c>
      <c r="F110" s="5">
        <v>80</v>
      </c>
      <c r="G110" s="9">
        <v>0.05</v>
      </c>
      <c r="H110" s="5">
        <v>532</v>
      </c>
      <c r="I110" s="5">
        <v>322</v>
      </c>
      <c r="J110" t="s">
        <v>28</v>
      </c>
      <c r="K110" t="s">
        <v>29</v>
      </c>
      <c r="L110" t="str">
        <f t="shared" si="2"/>
        <v>2025-03</v>
      </c>
      <c r="M110" s="9">
        <f t="shared" si="3"/>
        <v>0.60526315789473684</v>
      </c>
    </row>
    <row r="111" spans="1:13" x14ac:dyDescent="0.3">
      <c r="A111" t="s">
        <v>224</v>
      </c>
      <c r="B111" s="3" t="s">
        <v>225</v>
      </c>
      <c r="C111" t="s">
        <v>18</v>
      </c>
      <c r="D111" t="s">
        <v>61</v>
      </c>
      <c r="E111">
        <v>6</v>
      </c>
      <c r="F111" s="5">
        <v>25</v>
      </c>
      <c r="G111" s="9">
        <v>0.05</v>
      </c>
      <c r="H111" s="5">
        <v>142.5</v>
      </c>
      <c r="I111" s="5">
        <v>82.5</v>
      </c>
      <c r="J111" t="s">
        <v>15</v>
      </c>
      <c r="K111" t="s">
        <v>16</v>
      </c>
      <c r="L111" t="str">
        <f t="shared" si="2"/>
        <v>2025-03</v>
      </c>
      <c r="M111" s="9">
        <f t="shared" si="3"/>
        <v>0.57894736842105265</v>
      </c>
    </row>
    <row r="112" spans="1:13" x14ac:dyDescent="0.3">
      <c r="A112" t="s">
        <v>226</v>
      </c>
      <c r="B112" s="3" t="s">
        <v>227</v>
      </c>
      <c r="C112" t="s">
        <v>13</v>
      </c>
      <c r="D112" t="s">
        <v>41</v>
      </c>
      <c r="E112">
        <v>7</v>
      </c>
      <c r="F112" s="5">
        <v>450</v>
      </c>
      <c r="G112" s="9">
        <v>0</v>
      </c>
      <c r="H112" s="5">
        <v>3150</v>
      </c>
      <c r="I112" s="5">
        <v>2310</v>
      </c>
      <c r="J112" t="s">
        <v>15</v>
      </c>
      <c r="K112" t="s">
        <v>16</v>
      </c>
      <c r="L112" t="str">
        <f t="shared" si="2"/>
        <v>2025-03</v>
      </c>
      <c r="M112" s="9">
        <f t="shared" si="3"/>
        <v>0.73333333333333328</v>
      </c>
    </row>
    <row r="113" spans="1:13" x14ac:dyDescent="0.3">
      <c r="A113" t="s">
        <v>228</v>
      </c>
      <c r="B113" s="3" t="s">
        <v>227</v>
      </c>
      <c r="C113" t="s">
        <v>18</v>
      </c>
      <c r="D113" t="s">
        <v>77</v>
      </c>
      <c r="E113">
        <v>4</v>
      </c>
      <c r="F113" s="5">
        <v>1200</v>
      </c>
      <c r="G113" s="9">
        <v>0</v>
      </c>
      <c r="H113" s="5">
        <v>4800</v>
      </c>
      <c r="I113" s="5">
        <v>3600</v>
      </c>
      <c r="J113" t="s">
        <v>44</v>
      </c>
      <c r="K113" t="s">
        <v>29</v>
      </c>
      <c r="L113" t="str">
        <f t="shared" si="2"/>
        <v>2025-03</v>
      </c>
      <c r="M113" s="9">
        <f t="shared" si="3"/>
        <v>0.75</v>
      </c>
    </row>
    <row r="114" spans="1:13" x14ac:dyDescent="0.3">
      <c r="A114" t="s">
        <v>229</v>
      </c>
      <c r="B114" s="3" t="s">
        <v>230</v>
      </c>
      <c r="C114" t="s">
        <v>13</v>
      </c>
      <c r="D114" t="s">
        <v>67</v>
      </c>
      <c r="E114">
        <v>6</v>
      </c>
      <c r="F114" s="5">
        <v>35</v>
      </c>
      <c r="G114" s="9">
        <v>0.05</v>
      </c>
      <c r="H114" s="5">
        <v>199.5</v>
      </c>
      <c r="I114" s="5">
        <v>127.5</v>
      </c>
      <c r="J114" t="s">
        <v>20</v>
      </c>
      <c r="K114" t="s">
        <v>29</v>
      </c>
      <c r="L114" t="str">
        <f t="shared" si="2"/>
        <v>2025-03</v>
      </c>
      <c r="M114" s="9">
        <f t="shared" si="3"/>
        <v>0.63909774436090228</v>
      </c>
    </row>
    <row r="115" spans="1:13" x14ac:dyDescent="0.3">
      <c r="A115" t="s">
        <v>231</v>
      </c>
      <c r="B115" s="3" t="s">
        <v>232</v>
      </c>
      <c r="C115" t="s">
        <v>18</v>
      </c>
      <c r="D115" t="s">
        <v>77</v>
      </c>
      <c r="E115">
        <v>5</v>
      </c>
      <c r="F115" s="5">
        <v>1200</v>
      </c>
      <c r="G115" s="9">
        <v>0</v>
      </c>
      <c r="H115" s="5">
        <v>6000</v>
      </c>
      <c r="I115" s="5">
        <v>4500</v>
      </c>
      <c r="J115" t="s">
        <v>20</v>
      </c>
      <c r="K115" t="s">
        <v>29</v>
      </c>
      <c r="L115" t="str">
        <f t="shared" si="2"/>
        <v>2025-03</v>
      </c>
      <c r="M115" s="9">
        <f t="shared" si="3"/>
        <v>0.75</v>
      </c>
    </row>
    <row r="116" spans="1:13" x14ac:dyDescent="0.3">
      <c r="A116" t="s">
        <v>233</v>
      </c>
      <c r="B116" s="3" t="s">
        <v>234</v>
      </c>
      <c r="C116" t="s">
        <v>13</v>
      </c>
      <c r="D116" t="s">
        <v>14</v>
      </c>
      <c r="E116">
        <v>6</v>
      </c>
      <c r="F116" s="5">
        <v>110</v>
      </c>
      <c r="G116" s="9">
        <v>0.05</v>
      </c>
      <c r="H116" s="5">
        <v>627</v>
      </c>
      <c r="I116" s="5">
        <v>447</v>
      </c>
      <c r="J116" t="s">
        <v>15</v>
      </c>
      <c r="K116" t="s">
        <v>16</v>
      </c>
      <c r="L116" t="str">
        <f t="shared" si="2"/>
        <v>2025-03</v>
      </c>
      <c r="M116" s="9">
        <f t="shared" si="3"/>
        <v>0.71291866028708128</v>
      </c>
    </row>
    <row r="117" spans="1:13" x14ac:dyDescent="0.3">
      <c r="A117" t="s">
        <v>235</v>
      </c>
      <c r="B117" s="3" t="s">
        <v>234</v>
      </c>
      <c r="C117" t="s">
        <v>18</v>
      </c>
      <c r="D117" t="s">
        <v>128</v>
      </c>
      <c r="E117">
        <v>8</v>
      </c>
      <c r="F117" s="5">
        <v>350</v>
      </c>
      <c r="G117" s="9">
        <v>0.15</v>
      </c>
      <c r="H117" s="5">
        <v>2380</v>
      </c>
      <c r="I117" s="5">
        <v>1660</v>
      </c>
      <c r="J117" t="s">
        <v>15</v>
      </c>
      <c r="K117" t="s">
        <v>29</v>
      </c>
      <c r="L117" t="str">
        <f t="shared" si="2"/>
        <v>2025-03</v>
      </c>
      <c r="M117" s="9">
        <f t="shared" si="3"/>
        <v>0.69747899159663862</v>
      </c>
    </row>
    <row r="118" spans="1:13" x14ac:dyDescent="0.3">
      <c r="A118" t="s">
        <v>236</v>
      </c>
      <c r="B118" s="3" t="s">
        <v>237</v>
      </c>
      <c r="C118" t="s">
        <v>13</v>
      </c>
      <c r="D118" t="s">
        <v>67</v>
      </c>
      <c r="E118">
        <v>8</v>
      </c>
      <c r="F118" s="5">
        <v>35</v>
      </c>
      <c r="G118" s="9">
        <v>0</v>
      </c>
      <c r="H118" s="5">
        <v>280</v>
      </c>
      <c r="I118" s="5">
        <v>184</v>
      </c>
      <c r="J118" t="s">
        <v>44</v>
      </c>
      <c r="K118" t="s">
        <v>32</v>
      </c>
      <c r="L118" t="str">
        <f t="shared" si="2"/>
        <v>2025-03</v>
      </c>
      <c r="M118" s="9">
        <f t="shared" si="3"/>
        <v>0.65714285714285714</v>
      </c>
    </row>
    <row r="119" spans="1:13" x14ac:dyDescent="0.3">
      <c r="A119" t="s">
        <v>238</v>
      </c>
      <c r="B119" s="3" t="s">
        <v>239</v>
      </c>
      <c r="C119" t="s">
        <v>23</v>
      </c>
      <c r="D119" t="s">
        <v>35</v>
      </c>
      <c r="E119">
        <v>8</v>
      </c>
      <c r="F119" s="5">
        <v>15</v>
      </c>
      <c r="G119" s="9">
        <v>0.1</v>
      </c>
      <c r="H119" s="5">
        <v>108</v>
      </c>
      <c r="I119" s="5">
        <v>68</v>
      </c>
      <c r="J119" t="s">
        <v>28</v>
      </c>
      <c r="K119" t="s">
        <v>29</v>
      </c>
      <c r="L119" t="str">
        <f t="shared" si="2"/>
        <v>2025-03</v>
      </c>
      <c r="M119" s="9">
        <f t="shared" si="3"/>
        <v>0.62962962962962965</v>
      </c>
    </row>
    <row r="120" spans="1:13" x14ac:dyDescent="0.3">
      <c r="A120" t="s">
        <v>240</v>
      </c>
      <c r="B120" s="3" t="s">
        <v>241</v>
      </c>
      <c r="C120" t="s">
        <v>13</v>
      </c>
      <c r="D120" t="s">
        <v>41</v>
      </c>
      <c r="E120">
        <v>3</v>
      </c>
      <c r="F120" s="5">
        <v>450</v>
      </c>
      <c r="G120" s="9">
        <v>0.1</v>
      </c>
      <c r="H120" s="5">
        <v>1215</v>
      </c>
      <c r="I120" s="5">
        <v>855</v>
      </c>
      <c r="J120" t="s">
        <v>15</v>
      </c>
      <c r="K120" t="s">
        <v>32</v>
      </c>
      <c r="L120" t="str">
        <f t="shared" si="2"/>
        <v>2025-03</v>
      </c>
      <c r="M120" s="9">
        <f t="shared" si="3"/>
        <v>0.70370370370370372</v>
      </c>
    </row>
    <row r="121" spans="1:13" x14ac:dyDescent="0.3">
      <c r="A121" t="s">
        <v>242</v>
      </c>
      <c r="B121" s="3" t="s">
        <v>241</v>
      </c>
      <c r="C121" t="s">
        <v>23</v>
      </c>
      <c r="D121" t="s">
        <v>43</v>
      </c>
      <c r="E121">
        <v>1</v>
      </c>
      <c r="F121" s="5">
        <v>20</v>
      </c>
      <c r="G121" s="9">
        <v>0.1</v>
      </c>
      <c r="H121" s="5">
        <v>18</v>
      </c>
      <c r="I121" s="5">
        <v>11</v>
      </c>
      <c r="J121" t="s">
        <v>44</v>
      </c>
      <c r="K121" t="s">
        <v>29</v>
      </c>
      <c r="L121" t="str">
        <f t="shared" si="2"/>
        <v>2025-03</v>
      </c>
      <c r="M121" s="9">
        <f t="shared" si="3"/>
        <v>0.61111111111111116</v>
      </c>
    </row>
    <row r="122" spans="1:13" x14ac:dyDescent="0.3">
      <c r="A122" t="s">
        <v>243</v>
      </c>
      <c r="B122" s="3" t="s">
        <v>244</v>
      </c>
      <c r="C122" t="s">
        <v>23</v>
      </c>
      <c r="D122" t="s">
        <v>31</v>
      </c>
      <c r="E122">
        <v>4</v>
      </c>
      <c r="F122" s="5">
        <v>25</v>
      </c>
      <c r="G122" s="9">
        <v>0</v>
      </c>
      <c r="H122" s="5">
        <v>100</v>
      </c>
      <c r="I122" s="5">
        <v>68</v>
      </c>
      <c r="J122" t="s">
        <v>20</v>
      </c>
      <c r="K122" t="s">
        <v>16</v>
      </c>
      <c r="L122" t="str">
        <f t="shared" si="2"/>
        <v>2025-03</v>
      </c>
      <c r="M122" s="9">
        <f t="shared" si="3"/>
        <v>0.68</v>
      </c>
    </row>
    <row r="123" spans="1:13" x14ac:dyDescent="0.3">
      <c r="A123" t="s">
        <v>245</v>
      </c>
      <c r="B123" s="3" t="s">
        <v>246</v>
      </c>
      <c r="C123" t="s">
        <v>13</v>
      </c>
      <c r="D123" t="s">
        <v>14</v>
      </c>
      <c r="E123">
        <v>7</v>
      </c>
      <c r="F123" s="5">
        <v>110</v>
      </c>
      <c r="G123" s="9">
        <v>0.05</v>
      </c>
      <c r="H123" s="5">
        <v>731.5</v>
      </c>
      <c r="I123" s="5">
        <v>521.5</v>
      </c>
      <c r="J123" t="s">
        <v>15</v>
      </c>
      <c r="K123" t="s">
        <v>29</v>
      </c>
      <c r="L123" t="str">
        <f t="shared" si="2"/>
        <v>2025-03</v>
      </c>
      <c r="M123" s="9">
        <f t="shared" si="3"/>
        <v>0.71291866028708128</v>
      </c>
    </row>
    <row r="124" spans="1:13" x14ac:dyDescent="0.3">
      <c r="A124" t="s">
        <v>247</v>
      </c>
      <c r="B124" s="3" t="s">
        <v>246</v>
      </c>
      <c r="C124" t="s">
        <v>18</v>
      </c>
      <c r="D124" t="s">
        <v>19</v>
      </c>
      <c r="E124">
        <v>9</v>
      </c>
      <c r="F124" s="5">
        <v>40</v>
      </c>
      <c r="G124" s="9">
        <v>0.1</v>
      </c>
      <c r="H124" s="5">
        <v>324</v>
      </c>
      <c r="I124" s="5">
        <v>189</v>
      </c>
      <c r="J124" t="s">
        <v>20</v>
      </c>
      <c r="K124" t="s">
        <v>29</v>
      </c>
      <c r="L124" t="str">
        <f t="shared" si="2"/>
        <v>2025-03</v>
      </c>
      <c r="M124" s="9">
        <f t="shared" si="3"/>
        <v>0.58333333333333337</v>
      </c>
    </row>
    <row r="125" spans="1:13" x14ac:dyDescent="0.3">
      <c r="A125" t="s">
        <v>248</v>
      </c>
      <c r="B125" s="3" t="s">
        <v>249</v>
      </c>
      <c r="C125" t="s">
        <v>13</v>
      </c>
      <c r="D125" t="s">
        <v>51</v>
      </c>
      <c r="E125">
        <v>5</v>
      </c>
      <c r="F125" s="5">
        <v>250</v>
      </c>
      <c r="G125" s="9">
        <v>0.1</v>
      </c>
      <c r="H125" s="5">
        <v>1125</v>
      </c>
      <c r="I125" s="5">
        <v>775</v>
      </c>
      <c r="J125" t="s">
        <v>28</v>
      </c>
      <c r="K125" t="s">
        <v>16</v>
      </c>
      <c r="L125" t="str">
        <f t="shared" si="2"/>
        <v>2025-03</v>
      </c>
      <c r="M125" s="9">
        <f t="shared" si="3"/>
        <v>0.68888888888888888</v>
      </c>
    </row>
    <row r="126" spans="1:13" x14ac:dyDescent="0.3">
      <c r="A126" t="s">
        <v>250</v>
      </c>
      <c r="B126" s="3" t="s">
        <v>251</v>
      </c>
      <c r="C126" t="s">
        <v>23</v>
      </c>
      <c r="D126" t="s">
        <v>35</v>
      </c>
      <c r="E126">
        <v>2</v>
      </c>
      <c r="F126" s="5">
        <v>15</v>
      </c>
      <c r="G126" s="9">
        <v>0</v>
      </c>
      <c r="H126" s="5">
        <v>30</v>
      </c>
      <c r="I126" s="5">
        <v>20</v>
      </c>
      <c r="J126" t="s">
        <v>15</v>
      </c>
      <c r="K126" t="s">
        <v>29</v>
      </c>
      <c r="L126" t="str">
        <f t="shared" si="2"/>
        <v>2025-04</v>
      </c>
      <c r="M126" s="9">
        <f t="shared" si="3"/>
        <v>0.66666666666666663</v>
      </c>
    </row>
    <row r="127" spans="1:13" x14ac:dyDescent="0.3">
      <c r="A127" t="s">
        <v>252</v>
      </c>
      <c r="B127" s="3" t="s">
        <v>253</v>
      </c>
      <c r="C127" t="s">
        <v>13</v>
      </c>
      <c r="D127" t="s">
        <v>14</v>
      </c>
      <c r="E127">
        <v>8</v>
      </c>
      <c r="F127" s="5">
        <v>110</v>
      </c>
      <c r="G127" s="9">
        <v>0.1</v>
      </c>
      <c r="H127" s="5">
        <v>792</v>
      </c>
      <c r="I127" s="5">
        <v>552</v>
      </c>
      <c r="J127" t="s">
        <v>20</v>
      </c>
      <c r="K127" t="s">
        <v>29</v>
      </c>
      <c r="L127" t="str">
        <f t="shared" si="2"/>
        <v>2025-04</v>
      </c>
      <c r="M127" s="9">
        <f t="shared" si="3"/>
        <v>0.69696969696969702</v>
      </c>
    </row>
    <row r="128" spans="1:13" x14ac:dyDescent="0.3">
      <c r="A128" t="s">
        <v>254</v>
      </c>
      <c r="B128" s="3" t="s">
        <v>253</v>
      </c>
      <c r="C128" t="s">
        <v>23</v>
      </c>
      <c r="D128" t="s">
        <v>31</v>
      </c>
      <c r="E128">
        <v>5</v>
      </c>
      <c r="F128" s="5">
        <v>25</v>
      </c>
      <c r="G128" s="9">
        <v>0</v>
      </c>
      <c r="H128" s="5">
        <v>125</v>
      </c>
      <c r="I128" s="5">
        <v>85</v>
      </c>
      <c r="J128" t="s">
        <v>20</v>
      </c>
      <c r="K128" t="s">
        <v>32</v>
      </c>
      <c r="L128" t="str">
        <f t="shared" si="2"/>
        <v>2025-04</v>
      </c>
      <c r="M128" s="9">
        <f t="shared" si="3"/>
        <v>0.68</v>
      </c>
    </row>
    <row r="129" spans="1:13" x14ac:dyDescent="0.3">
      <c r="A129" t="s">
        <v>255</v>
      </c>
      <c r="B129" s="3" t="s">
        <v>256</v>
      </c>
      <c r="C129" t="s">
        <v>18</v>
      </c>
      <c r="D129" t="s">
        <v>61</v>
      </c>
      <c r="E129">
        <v>9</v>
      </c>
      <c r="F129" s="5">
        <v>25</v>
      </c>
      <c r="G129" s="9">
        <v>0.05</v>
      </c>
      <c r="H129" s="5">
        <v>213.75</v>
      </c>
      <c r="I129" s="5">
        <v>123.75</v>
      </c>
      <c r="J129" t="s">
        <v>44</v>
      </c>
      <c r="K129" t="s">
        <v>29</v>
      </c>
      <c r="L129" t="str">
        <f t="shared" si="2"/>
        <v>2025-04</v>
      </c>
      <c r="M129" s="9">
        <f t="shared" si="3"/>
        <v>0.57894736842105265</v>
      </c>
    </row>
    <row r="130" spans="1:13" x14ac:dyDescent="0.3">
      <c r="A130" t="s">
        <v>257</v>
      </c>
      <c r="B130" s="3" t="s">
        <v>258</v>
      </c>
      <c r="C130" t="s">
        <v>23</v>
      </c>
      <c r="D130" t="s">
        <v>31</v>
      </c>
      <c r="E130">
        <v>6</v>
      </c>
      <c r="F130" s="5">
        <v>25</v>
      </c>
      <c r="G130" s="9">
        <v>0.05</v>
      </c>
      <c r="H130" s="5">
        <v>142.5</v>
      </c>
      <c r="I130" s="5">
        <v>94.5</v>
      </c>
      <c r="J130" t="s">
        <v>44</v>
      </c>
      <c r="K130" t="s">
        <v>29</v>
      </c>
      <c r="L130" t="str">
        <f t="shared" si="2"/>
        <v>2025-04</v>
      </c>
      <c r="M130" s="9">
        <f t="shared" si="3"/>
        <v>0.66315789473684206</v>
      </c>
    </row>
    <row r="131" spans="1:13" x14ac:dyDescent="0.3">
      <c r="A131" t="s">
        <v>259</v>
      </c>
      <c r="B131" s="3" t="s">
        <v>260</v>
      </c>
      <c r="C131" t="s">
        <v>13</v>
      </c>
      <c r="D131" t="s">
        <v>41</v>
      </c>
      <c r="E131">
        <v>5</v>
      </c>
      <c r="F131" s="5">
        <v>450</v>
      </c>
      <c r="G131" s="9">
        <v>0.15</v>
      </c>
      <c r="H131" s="5">
        <v>1912.5</v>
      </c>
      <c r="I131" s="5">
        <v>1312.5</v>
      </c>
      <c r="J131" t="s">
        <v>20</v>
      </c>
      <c r="K131" t="s">
        <v>16</v>
      </c>
      <c r="L131" t="str">
        <f t="shared" ref="L131:L194" si="4">TEXT(B131, "YYYY-MM")</f>
        <v>2025-04</v>
      </c>
      <c r="M131" s="9">
        <f t="shared" ref="M131:M194" si="5">I131/H131</f>
        <v>0.68627450980392157</v>
      </c>
    </row>
    <row r="132" spans="1:13" x14ac:dyDescent="0.3">
      <c r="A132" t="s">
        <v>261</v>
      </c>
      <c r="B132" s="3" t="s">
        <v>260</v>
      </c>
      <c r="C132" t="s">
        <v>23</v>
      </c>
      <c r="D132" t="s">
        <v>58</v>
      </c>
      <c r="E132">
        <v>8</v>
      </c>
      <c r="F132" s="5">
        <v>8</v>
      </c>
      <c r="G132" s="9">
        <v>0.05</v>
      </c>
      <c r="H132" s="5">
        <v>60.8</v>
      </c>
      <c r="I132" s="5">
        <v>36.799999999999997</v>
      </c>
      <c r="J132" t="s">
        <v>15</v>
      </c>
      <c r="K132" t="s">
        <v>32</v>
      </c>
      <c r="L132" t="str">
        <f t="shared" si="4"/>
        <v>2025-04</v>
      </c>
      <c r="M132" s="9">
        <f t="shared" si="5"/>
        <v>0.60526315789473684</v>
      </c>
    </row>
    <row r="133" spans="1:13" x14ac:dyDescent="0.3">
      <c r="A133" t="s">
        <v>262</v>
      </c>
      <c r="B133" s="3" t="s">
        <v>263</v>
      </c>
      <c r="C133" t="s">
        <v>13</v>
      </c>
      <c r="D133" t="s">
        <v>38</v>
      </c>
      <c r="E133">
        <v>4</v>
      </c>
      <c r="F133" s="5">
        <v>150</v>
      </c>
      <c r="G133" s="9">
        <v>0.2</v>
      </c>
      <c r="H133" s="5">
        <v>480</v>
      </c>
      <c r="I133" s="5">
        <v>320</v>
      </c>
      <c r="J133" t="s">
        <v>20</v>
      </c>
      <c r="K133" t="s">
        <v>29</v>
      </c>
      <c r="L133" t="str">
        <f t="shared" si="4"/>
        <v>2025-04</v>
      </c>
      <c r="M133" s="9">
        <f t="shared" si="5"/>
        <v>0.66666666666666663</v>
      </c>
    </row>
    <row r="134" spans="1:13" x14ac:dyDescent="0.3">
      <c r="A134" t="s">
        <v>264</v>
      </c>
      <c r="B134" s="3" t="s">
        <v>265</v>
      </c>
      <c r="C134" t="s">
        <v>23</v>
      </c>
      <c r="D134" t="s">
        <v>35</v>
      </c>
      <c r="E134">
        <v>4</v>
      </c>
      <c r="F134" s="5">
        <v>15</v>
      </c>
      <c r="G134" s="9">
        <v>0.05</v>
      </c>
      <c r="H134" s="5">
        <v>57</v>
      </c>
      <c r="I134" s="5">
        <v>37</v>
      </c>
      <c r="J134" t="s">
        <v>20</v>
      </c>
      <c r="K134" t="s">
        <v>32</v>
      </c>
      <c r="L134" t="str">
        <f t="shared" si="4"/>
        <v>2025-04</v>
      </c>
      <c r="M134" s="9">
        <f t="shared" si="5"/>
        <v>0.64912280701754388</v>
      </c>
    </row>
    <row r="135" spans="1:13" x14ac:dyDescent="0.3">
      <c r="A135" t="s">
        <v>266</v>
      </c>
      <c r="B135" s="3" t="s">
        <v>267</v>
      </c>
      <c r="C135" t="s">
        <v>18</v>
      </c>
      <c r="D135" t="s">
        <v>19</v>
      </c>
      <c r="E135">
        <v>4</v>
      </c>
      <c r="F135" s="5">
        <v>40</v>
      </c>
      <c r="G135" s="9">
        <v>0</v>
      </c>
      <c r="H135" s="5">
        <v>160</v>
      </c>
      <c r="I135" s="5">
        <v>100</v>
      </c>
      <c r="J135" t="s">
        <v>20</v>
      </c>
      <c r="K135" t="s">
        <v>29</v>
      </c>
      <c r="L135" t="str">
        <f t="shared" si="4"/>
        <v>2025-04</v>
      </c>
      <c r="M135" s="9">
        <f t="shared" si="5"/>
        <v>0.625</v>
      </c>
    </row>
    <row r="136" spans="1:13" x14ac:dyDescent="0.3">
      <c r="A136" t="s">
        <v>268</v>
      </c>
      <c r="B136" s="3" t="s">
        <v>267</v>
      </c>
      <c r="C136" t="s">
        <v>13</v>
      </c>
      <c r="D136" t="s">
        <v>14</v>
      </c>
      <c r="E136">
        <v>4</v>
      </c>
      <c r="F136" s="5">
        <v>110</v>
      </c>
      <c r="G136" s="9">
        <v>0.1</v>
      </c>
      <c r="H136" s="5">
        <v>396</v>
      </c>
      <c r="I136" s="5">
        <v>276</v>
      </c>
      <c r="J136" t="s">
        <v>20</v>
      </c>
      <c r="K136" t="s">
        <v>29</v>
      </c>
      <c r="L136" t="str">
        <f t="shared" si="4"/>
        <v>2025-04</v>
      </c>
      <c r="M136" s="9">
        <f t="shared" si="5"/>
        <v>0.69696969696969702</v>
      </c>
    </row>
    <row r="137" spans="1:13" x14ac:dyDescent="0.3">
      <c r="A137" t="s">
        <v>269</v>
      </c>
      <c r="B137" s="3" t="s">
        <v>270</v>
      </c>
      <c r="C137" t="s">
        <v>23</v>
      </c>
      <c r="D137" t="s">
        <v>43</v>
      </c>
      <c r="E137">
        <v>5</v>
      </c>
      <c r="F137" s="5">
        <v>20</v>
      </c>
      <c r="G137" s="9">
        <v>0.1</v>
      </c>
      <c r="H137" s="5">
        <v>90</v>
      </c>
      <c r="I137" s="5">
        <v>55</v>
      </c>
      <c r="J137" t="s">
        <v>28</v>
      </c>
      <c r="K137" t="s">
        <v>16</v>
      </c>
      <c r="L137" t="str">
        <f t="shared" si="4"/>
        <v>2025-04</v>
      </c>
      <c r="M137" s="9">
        <f t="shared" si="5"/>
        <v>0.61111111111111116</v>
      </c>
    </row>
    <row r="138" spans="1:13" x14ac:dyDescent="0.3">
      <c r="A138" t="s">
        <v>271</v>
      </c>
      <c r="B138" s="3" t="s">
        <v>272</v>
      </c>
      <c r="C138" t="s">
        <v>18</v>
      </c>
      <c r="D138" t="s">
        <v>61</v>
      </c>
      <c r="E138">
        <v>8</v>
      </c>
      <c r="F138" s="5">
        <v>25</v>
      </c>
      <c r="G138" s="9">
        <v>0.05</v>
      </c>
      <c r="H138" s="5">
        <v>190</v>
      </c>
      <c r="I138" s="5">
        <v>110</v>
      </c>
      <c r="J138" t="s">
        <v>20</v>
      </c>
      <c r="K138" t="s">
        <v>16</v>
      </c>
      <c r="L138" t="str">
        <f t="shared" si="4"/>
        <v>2025-04</v>
      </c>
      <c r="M138" s="9">
        <f t="shared" si="5"/>
        <v>0.57894736842105265</v>
      </c>
    </row>
    <row r="139" spans="1:13" x14ac:dyDescent="0.3">
      <c r="A139" t="s">
        <v>273</v>
      </c>
      <c r="B139" s="3" t="s">
        <v>272</v>
      </c>
      <c r="C139" t="s">
        <v>23</v>
      </c>
      <c r="D139" t="s">
        <v>43</v>
      </c>
      <c r="E139">
        <v>4</v>
      </c>
      <c r="F139" s="5">
        <v>20</v>
      </c>
      <c r="G139" s="9">
        <v>0.15</v>
      </c>
      <c r="H139" s="5">
        <v>68</v>
      </c>
      <c r="I139" s="5">
        <v>40</v>
      </c>
      <c r="J139" t="s">
        <v>20</v>
      </c>
      <c r="K139" t="s">
        <v>16</v>
      </c>
      <c r="L139" t="str">
        <f t="shared" si="4"/>
        <v>2025-04</v>
      </c>
      <c r="M139" s="9">
        <f t="shared" si="5"/>
        <v>0.58823529411764708</v>
      </c>
    </row>
    <row r="140" spans="1:13" x14ac:dyDescent="0.3">
      <c r="A140" t="s">
        <v>274</v>
      </c>
      <c r="B140" s="3" t="s">
        <v>275</v>
      </c>
      <c r="C140" t="s">
        <v>23</v>
      </c>
      <c r="D140" t="s">
        <v>35</v>
      </c>
      <c r="E140">
        <v>9</v>
      </c>
      <c r="F140" s="5">
        <v>15</v>
      </c>
      <c r="G140" s="9">
        <v>0</v>
      </c>
      <c r="H140" s="5">
        <v>135</v>
      </c>
      <c r="I140" s="5">
        <v>90</v>
      </c>
      <c r="J140" t="s">
        <v>20</v>
      </c>
      <c r="K140" t="s">
        <v>32</v>
      </c>
      <c r="L140" t="str">
        <f t="shared" si="4"/>
        <v>2025-04</v>
      </c>
      <c r="M140" s="9">
        <f t="shared" si="5"/>
        <v>0.66666666666666663</v>
      </c>
    </row>
    <row r="141" spans="1:13" x14ac:dyDescent="0.3">
      <c r="A141" t="s">
        <v>276</v>
      </c>
      <c r="B141" s="3" t="s">
        <v>277</v>
      </c>
      <c r="C141" t="s">
        <v>23</v>
      </c>
      <c r="D141" t="s">
        <v>35</v>
      </c>
      <c r="E141">
        <v>5</v>
      </c>
      <c r="F141" s="5">
        <v>15</v>
      </c>
      <c r="G141" s="9">
        <v>0.2</v>
      </c>
      <c r="H141" s="5">
        <v>60</v>
      </c>
      <c r="I141" s="5">
        <v>35</v>
      </c>
      <c r="J141" t="s">
        <v>28</v>
      </c>
      <c r="K141" t="s">
        <v>16</v>
      </c>
      <c r="L141" t="str">
        <f t="shared" si="4"/>
        <v>2025-04</v>
      </c>
      <c r="M141" s="9">
        <f t="shared" si="5"/>
        <v>0.58333333333333337</v>
      </c>
    </row>
    <row r="142" spans="1:13" x14ac:dyDescent="0.3">
      <c r="A142" t="s">
        <v>278</v>
      </c>
      <c r="B142" s="3" t="s">
        <v>279</v>
      </c>
      <c r="C142" t="s">
        <v>23</v>
      </c>
      <c r="D142" t="s">
        <v>58</v>
      </c>
      <c r="E142">
        <v>8</v>
      </c>
      <c r="F142" s="5">
        <v>8</v>
      </c>
      <c r="G142" s="9">
        <v>0.05</v>
      </c>
      <c r="H142" s="5">
        <v>60.8</v>
      </c>
      <c r="I142" s="5">
        <v>36.799999999999997</v>
      </c>
      <c r="J142" t="s">
        <v>44</v>
      </c>
      <c r="K142" t="s">
        <v>29</v>
      </c>
      <c r="L142" t="str">
        <f t="shared" si="4"/>
        <v>2025-04</v>
      </c>
      <c r="M142" s="9">
        <f t="shared" si="5"/>
        <v>0.60526315789473684</v>
      </c>
    </row>
    <row r="143" spans="1:13" x14ac:dyDescent="0.3">
      <c r="A143" t="s">
        <v>280</v>
      </c>
      <c r="B143" s="3" t="s">
        <v>279</v>
      </c>
      <c r="C143" t="s">
        <v>18</v>
      </c>
      <c r="D143" t="s">
        <v>77</v>
      </c>
      <c r="E143">
        <v>5</v>
      </c>
      <c r="F143" s="5">
        <v>1200</v>
      </c>
      <c r="G143" s="9">
        <v>0.05</v>
      </c>
      <c r="H143" s="5">
        <v>5700</v>
      </c>
      <c r="I143" s="5">
        <v>4200</v>
      </c>
      <c r="J143" t="s">
        <v>15</v>
      </c>
      <c r="K143" t="s">
        <v>29</v>
      </c>
      <c r="L143" t="str">
        <f t="shared" si="4"/>
        <v>2025-04</v>
      </c>
      <c r="M143" s="9">
        <f t="shared" si="5"/>
        <v>0.73684210526315785</v>
      </c>
    </row>
    <row r="144" spans="1:13" x14ac:dyDescent="0.3">
      <c r="A144" t="s">
        <v>281</v>
      </c>
      <c r="B144" s="3" t="s">
        <v>282</v>
      </c>
      <c r="C144" t="s">
        <v>23</v>
      </c>
      <c r="D144" t="s">
        <v>24</v>
      </c>
      <c r="E144">
        <v>7</v>
      </c>
      <c r="F144" s="5">
        <v>10</v>
      </c>
      <c r="G144" s="9">
        <v>0</v>
      </c>
      <c r="H144" s="5">
        <v>70</v>
      </c>
      <c r="I144" s="5">
        <v>42</v>
      </c>
      <c r="J144" t="s">
        <v>20</v>
      </c>
      <c r="K144" t="s">
        <v>29</v>
      </c>
      <c r="L144" t="str">
        <f t="shared" si="4"/>
        <v>2025-04</v>
      </c>
      <c r="M144" s="9">
        <f t="shared" si="5"/>
        <v>0.6</v>
      </c>
    </row>
    <row r="145" spans="1:13" x14ac:dyDescent="0.3">
      <c r="A145" t="s">
        <v>283</v>
      </c>
      <c r="B145" s="3" t="s">
        <v>284</v>
      </c>
      <c r="C145" t="s">
        <v>18</v>
      </c>
      <c r="D145" t="s">
        <v>128</v>
      </c>
      <c r="E145">
        <v>3</v>
      </c>
      <c r="F145" s="5">
        <v>350</v>
      </c>
      <c r="G145" s="9">
        <v>0</v>
      </c>
      <c r="H145" s="5">
        <v>1050</v>
      </c>
      <c r="I145" s="5">
        <v>780</v>
      </c>
      <c r="J145" t="s">
        <v>20</v>
      </c>
      <c r="K145" t="s">
        <v>16</v>
      </c>
      <c r="L145" t="str">
        <f t="shared" si="4"/>
        <v>2025-04</v>
      </c>
      <c r="M145" s="9">
        <f t="shared" si="5"/>
        <v>0.74285714285714288</v>
      </c>
    </row>
    <row r="146" spans="1:13" x14ac:dyDescent="0.3">
      <c r="A146" t="s">
        <v>285</v>
      </c>
      <c r="B146" s="3" t="s">
        <v>286</v>
      </c>
      <c r="C146" t="s">
        <v>18</v>
      </c>
      <c r="D146" t="s">
        <v>77</v>
      </c>
      <c r="E146">
        <v>1</v>
      </c>
      <c r="F146" s="5">
        <v>1200</v>
      </c>
      <c r="G146" s="9">
        <v>0.1</v>
      </c>
      <c r="H146" s="5">
        <v>1080</v>
      </c>
      <c r="I146" s="5">
        <v>780</v>
      </c>
      <c r="J146" t="s">
        <v>15</v>
      </c>
      <c r="K146" t="s">
        <v>16</v>
      </c>
      <c r="L146" t="str">
        <f t="shared" si="4"/>
        <v>2025-04</v>
      </c>
      <c r="M146" s="9">
        <f t="shared" si="5"/>
        <v>0.72222222222222221</v>
      </c>
    </row>
    <row r="147" spans="1:13" x14ac:dyDescent="0.3">
      <c r="A147" t="s">
        <v>287</v>
      </c>
      <c r="B147" s="3" t="s">
        <v>286</v>
      </c>
      <c r="C147" t="s">
        <v>18</v>
      </c>
      <c r="D147" t="s">
        <v>77</v>
      </c>
      <c r="E147">
        <v>7</v>
      </c>
      <c r="F147" s="5">
        <v>1200</v>
      </c>
      <c r="G147" s="9">
        <v>0.2</v>
      </c>
      <c r="H147" s="5">
        <v>6720</v>
      </c>
      <c r="I147" s="5">
        <v>4620</v>
      </c>
      <c r="J147" t="s">
        <v>44</v>
      </c>
      <c r="K147" t="s">
        <v>29</v>
      </c>
      <c r="L147" t="str">
        <f t="shared" si="4"/>
        <v>2025-04</v>
      </c>
      <c r="M147" s="9">
        <f t="shared" si="5"/>
        <v>0.6875</v>
      </c>
    </row>
    <row r="148" spans="1:13" x14ac:dyDescent="0.3">
      <c r="A148" t="s">
        <v>288</v>
      </c>
      <c r="B148" s="3" t="s">
        <v>289</v>
      </c>
      <c r="C148" t="s">
        <v>23</v>
      </c>
      <c r="D148" t="s">
        <v>31</v>
      </c>
      <c r="E148">
        <v>8</v>
      </c>
      <c r="F148" s="5">
        <v>25</v>
      </c>
      <c r="G148" s="9">
        <v>0.05</v>
      </c>
      <c r="H148" s="5">
        <v>190</v>
      </c>
      <c r="I148" s="5">
        <v>126</v>
      </c>
      <c r="J148" t="s">
        <v>20</v>
      </c>
      <c r="K148" t="s">
        <v>16</v>
      </c>
      <c r="L148" t="str">
        <f t="shared" si="4"/>
        <v>2025-04</v>
      </c>
      <c r="M148" s="9">
        <f t="shared" si="5"/>
        <v>0.66315789473684206</v>
      </c>
    </row>
    <row r="149" spans="1:13" x14ac:dyDescent="0.3">
      <c r="A149" t="s">
        <v>290</v>
      </c>
      <c r="B149" s="3" t="s">
        <v>291</v>
      </c>
      <c r="C149" t="s">
        <v>23</v>
      </c>
      <c r="D149" t="s">
        <v>58</v>
      </c>
      <c r="E149">
        <v>8</v>
      </c>
      <c r="F149" s="5">
        <v>8</v>
      </c>
      <c r="G149" s="9">
        <v>0.15</v>
      </c>
      <c r="H149" s="5">
        <v>54.4</v>
      </c>
      <c r="I149" s="5">
        <v>30.4</v>
      </c>
      <c r="J149" t="s">
        <v>15</v>
      </c>
      <c r="K149" t="s">
        <v>16</v>
      </c>
      <c r="L149" t="str">
        <f t="shared" si="4"/>
        <v>2025-04</v>
      </c>
      <c r="M149" s="9">
        <f t="shared" si="5"/>
        <v>0.55882352941176472</v>
      </c>
    </row>
    <row r="150" spans="1:13" x14ac:dyDescent="0.3">
      <c r="A150" t="s">
        <v>292</v>
      </c>
      <c r="B150" s="3" t="s">
        <v>291</v>
      </c>
      <c r="C150" t="s">
        <v>18</v>
      </c>
      <c r="D150" t="s">
        <v>27</v>
      </c>
      <c r="E150">
        <v>2</v>
      </c>
      <c r="F150" s="5">
        <v>80</v>
      </c>
      <c r="G150" s="9">
        <v>0</v>
      </c>
      <c r="H150" s="5">
        <v>160</v>
      </c>
      <c r="I150" s="5">
        <v>100</v>
      </c>
      <c r="J150" t="s">
        <v>20</v>
      </c>
      <c r="K150" t="s">
        <v>29</v>
      </c>
      <c r="L150" t="str">
        <f t="shared" si="4"/>
        <v>2025-04</v>
      </c>
      <c r="M150" s="9">
        <f t="shared" si="5"/>
        <v>0.625</v>
      </c>
    </row>
    <row r="151" spans="1:13" x14ac:dyDescent="0.3">
      <c r="A151" t="s">
        <v>293</v>
      </c>
      <c r="B151" s="3" t="s">
        <v>294</v>
      </c>
      <c r="C151" t="s">
        <v>13</v>
      </c>
      <c r="D151" t="s">
        <v>51</v>
      </c>
      <c r="E151">
        <v>2</v>
      </c>
      <c r="F151" s="5">
        <v>250</v>
      </c>
      <c r="G151" s="9">
        <v>0</v>
      </c>
      <c r="H151" s="5">
        <v>500</v>
      </c>
      <c r="I151" s="5">
        <v>360</v>
      </c>
      <c r="J151" t="s">
        <v>20</v>
      </c>
      <c r="K151" t="s">
        <v>16</v>
      </c>
      <c r="L151" t="str">
        <f t="shared" si="4"/>
        <v>2025-04</v>
      </c>
      <c r="M151" s="9">
        <f t="shared" si="5"/>
        <v>0.72</v>
      </c>
    </row>
    <row r="152" spans="1:13" x14ac:dyDescent="0.3">
      <c r="A152" t="s">
        <v>295</v>
      </c>
      <c r="B152" s="3" t="s">
        <v>296</v>
      </c>
      <c r="C152" t="s">
        <v>18</v>
      </c>
      <c r="D152" t="s">
        <v>27</v>
      </c>
      <c r="E152">
        <v>3</v>
      </c>
      <c r="F152" s="5">
        <v>80</v>
      </c>
      <c r="G152" s="9">
        <v>0.05</v>
      </c>
      <c r="H152" s="5">
        <v>228</v>
      </c>
      <c r="I152" s="5">
        <v>138</v>
      </c>
      <c r="J152" t="s">
        <v>44</v>
      </c>
      <c r="K152" t="s">
        <v>16</v>
      </c>
      <c r="L152" t="str">
        <f t="shared" si="4"/>
        <v>2025-04</v>
      </c>
      <c r="M152" s="9">
        <f t="shared" si="5"/>
        <v>0.60526315789473684</v>
      </c>
    </row>
    <row r="153" spans="1:13" x14ac:dyDescent="0.3">
      <c r="A153" t="s">
        <v>297</v>
      </c>
      <c r="B153" s="3" t="s">
        <v>298</v>
      </c>
      <c r="C153" t="s">
        <v>18</v>
      </c>
      <c r="D153" t="s">
        <v>61</v>
      </c>
      <c r="E153">
        <v>7</v>
      </c>
      <c r="F153" s="5">
        <v>25</v>
      </c>
      <c r="G153" s="9">
        <v>0.05</v>
      </c>
      <c r="H153" s="5">
        <v>166.25</v>
      </c>
      <c r="I153" s="5">
        <v>96.25</v>
      </c>
      <c r="J153" t="s">
        <v>15</v>
      </c>
      <c r="K153" t="s">
        <v>16</v>
      </c>
      <c r="L153" t="str">
        <f t="shared" si="4"/>
        <v>2025-04</v>
      </c>
      <c r="M153" s="9">
        <f t="shared" si="5"/>
        <v>0.57894736842105265</v>
      </c>
    </row>
    <row r="154" spans="1:13" x14ac:dyDescent="0.3">
      <c r="A154" t="s">
        <v>299</v>
      </c>
      <c r="B154" s="3" t="s">
        <v>298</v>
      </c>
      <c r="C154" t="s">
        <v>18</v>
      </c>
      <c r="D154" t="s">
        <v>27</v>
      </c>
      <c r="E154">
        <v>8</v>
      </c>
      <c r="F154" s="5">
        <v>80</v>
      </c>
      <c r="G154" s="9">
        <v>0</v>
      </c>
      <c r="H154" s="5">
        <v>640</v>
      </c>
      <c r="I154" s="5">
        <v>400</v>
      </c>
      <c r="J154" t="s">
        <v>20</v>
      </c>
      <c r="K154" t="s">
        <v>16</v>
      </c>
      <c r="L154" t="str">
        <f t="shared" si="4"/>
        <v>2025-04</v>
      </c>
      <c r="M154" s="9">
        <f t="shared" si="5"/>
        <v>0.625</v>
      </c>
    </row>
    <row r="155" spans="1:13" x14ac:dyDescent="0.3">
      <c r="A155" t="s">
        <v>300</v>
      </c>
      <c r="B155" s="3" t="s">
        <v>301</v>
      </c>
      <c r="C155" t="s">
        <v>23</v>
      </c>
      <c r="D155" t="s">
        <v>24</v>
      </c>
      <c r="E155">
        <v>3</v>
      </c>
      <c r="F155" s="5">
        <v>10</v>
      </c>
      <c r="G155" s="9">
        <v>0</v>
      </c>
      <c r="H155" s="5">
        <v>30</v>
      </c>
      <c r="I155" s="5">
        <v>18</v>
      </c>
      <c r="J155" t="s">
        <v>20</v>
      </c>
      <c r="K155" t="s">
        <v>32</v>
      </c>
      <c r="L155" t="str">
        <f t="shared" si="4"/>
        <v>2025-04</v>
      </c>
      <c r="M155" s="9">
        <f t="shared" si="5"/>
        <v>0.6</v>
      </c>
    </row>
    <row r="156" spans="1:13" x14ac:dyDescent="0.3">
      <c r="A156" t="s">
        <v>302</v>
      </c>
      <c r="B156" s="3" t="s">
        <v>303</v>
      </c>
      <c r="C156" t="s">
        <v>23</v>
      </c>
      <c r="D156" t="s">
        <v>43</v>
      </c>
      <c r="E156">
        <v>4</v>
      </c>
      <c r="F156" s="5">
        <v>20</v>
      </c>
      <c r="G156" s="9">
        <v>0.05</v>
      </c>
      <c r="H156" s="5">
        <v>76</v>
      </c>
      <c r="I156" s="5">
        <v>48</v>
      </c>
      <c r="J156" t="s">
        <v>15</v>
      </c>
      <c r="K156" t="s">
        <v>16</v>
      </c>
      <c r="L156" t="str">
        <f t="shared" si="4"/>
        <v>2025-04</v>
      </c>
      <c r="M156" s="9">
        <f t="shared" si="5"/>
        <v>0.63157894736842102</v>
      </c>
    </row>
    <row r="157" spans="1:13" x14ac:dyDescent="0.3">
      <c r="A157" t="s">
        <v>304</v>
      </c>
      <c r="B157" s="3" t="s">
        <v>305</v>
      </c>
      <c r="C157" t="s">
        <v>23</v>
      </c>
      <c r="D157" t="s">
        <v>24</v>
      </c>
      <c r="E157">
        <v>7</v>
      </c>
      <c r="F157" s="5">
        <v>10</v>
      </c>
      <c r="G157" s="9">
        <v>0.1</v>
      </c>
      <c r="H157" s="5">
        <v>63</v>
      </c>
      <c r="I157" s="5">
        <v>35</v>
      </c>
      <c r="J157" t="s">
        <v>28</v>
      </c>
      <c r="K157" t="s">
        <v>16</v>
      </c>
      <c r="L157" t="str">
        <f t="shared" si="4"/>
        <v>2025-04</v>
      </c>
      <c r="M157" s="9">
        <f t="shared" si="5"/>
        <v>0.55555555555555558</v>
      </c>
    </row>
    <row r="158" spans="1:13" x14ac:dyDescent="0.3">
      <c r="A158" t="s">
        <v>306</v>
      </c>
      <c r="B158" s="3" t="s">
        <v>305</v>
      </c>
      <c r="C158" t="s">
        <v>23</v>
      </c>
      <c r="D158" t="s">
        <v>31</v>
      </c>
      <c r="E158">
        <v>2</v>
      </c>
      <c r="F158" s="5">
        <v>25</v>
      </c>
      <c r="G158" s="9">
        <v>0.15</v>
      </c>
      <c r="H158" s="5">
        <v>42.5</v>
      </c>
      <c r="I158" s="5">
        <v>26.5</v>
      </c>
      <c r="J158" t="s">
        <v>28</v>
      </c>
      <c r="K158" t="s">
        <v>16</v>
      </c>
      <c r="L158" t="str">
        <f t="shared" si="4"/>
        <v>2025-04</v>
      </c>
      <c r="M158" s="9">
        <f t="shared" si="5"/>
        <v>0.62352941176470589</v>
      </c>
    </row>
    <row r="159" spans="1:13" x14ac:dyDescent="0.3">
      <c r="A159" t="s">
        <v>307</v>
      </c>
      <c r="B159" s="3" t="s">
        <v>308</v>
      </c>
      <c r="C159" t="s">
        <v>18</v>
      </c>
      <c r="D159" t="s">
        <v>61</v>
      </c>
      <c r="E159">
        <v>3</v>
      </c>
      <c r="F159" s="5">
        <v>25</v>
      </c>
      <c r="G159" s="9">
        <v>0.05</v>
      </c>
      <c r="H159" s="5">
        <v>71.25</v>
      </c>
      <c r="I159" s="5">
        <v>41.25</v>
      </c>
      <c r="J159" t="s">
        <v>15</v>
      </c>
      <c r="K159" t="s">
        <v>29</v>
      </c>
      <c r="L159" t="str">
        <f t="shared" si="4"/>
        <v>2025-04</v>
      </c>
      <c r="M159" s="9">
        <f t="shared" si="5"/>
        <v>0.57894736842105265</v>
      </c>
    </row>
    <row r="160" spans="1:13" x14ac:dyDescent="0.3">
      <c r="A160" t="s">
        <v>309</v>
      </c>
      <c r="B160" s="3" t="s">
        <v>310</v>
      </c>
      <c r="C160" t="s">
        <v>13</v>
      </c>
      <c r="D160" t="s">
        <v>51</v>
      </c>
      <c r="E160">
        <v>2</v>
      </c>
      <c r="F160" s="5">
        <v>250</v>
      </c>
      <c r="G160" s="9">
        <v>0.15</v>
      </c>
      <c r="H160" s="5">
        <v>425</v>
      </c>
      <c r="I160" s="5">
        <v>285</v>
      </c>
      <c r="J160" t="s">
        <v>15</v>
      </c>
      <c r="K160" t="s">
        <v>32</v>
      </c>
      <c r="L160" t="str">
        <f t="shared" si="4"/>
        <v>2025-04</v>
      </c>
      <c r="M160" s="9">
        <f t="shared" si="5"/>
        <v>0.6705882352941176</v>
      </c>
    </row>
    <row r="161" spans="1:13" x14ac:dyDescent="0.3">
      <c r="A161" t="s">
        <v>311</v>
      </c>
      <c r="B161" s="3" t="s">
        <v>310</v>
      </c>
      <c r="C161" t="s">
        <v>23</v>
      </c>
      <c r="D161" t="s">
        <v>35</v>
      </c>
      <c r="E161">
        <v>8</v>
      </c>
      <c r="F161" s="5">
        <v>15</v>
      </c>
      <c r="G161" s="9">
        <v>0.2</v>
      </c>
      <c r="H161" s="5">
        <v>96</v>
      </c>
      <c r="I161" s="5">
        <v>56</v>
      </c>
      <c r="J161" t="s">
        <v>44</v>
      </c>
      <c r="K161" t="s">
        <v>16</v>
      </c>
      <c r="L161" t="str">
        <f t="shared" si="4"/>
        <v>2025-04</v>
      </c>
      <c r="M161" s="9">
        <f t="shared" si="5"/>
        <v>0.58333333333333337</v>
      </c>
    </row>
    <row r="162" spans="1:13" x14ac:dyDescent="0.3">
      <c r="A162" t="s">
        <v>312</v>
      </c>
      <c r="B162" s="3" t="s">
        <v>313</v>
      </c>
      <c r="C162" t="s">
        <v>13</v>
      </c>
      <c r="D162" t="s">
        <v>51</v>
      </c>
      <c r="E162">
        <v>9</v>
      </c>
      <c r="F162" s="5">
        <v>250</v>
      </c>
      <c r="G162" s="9">
        <v>0.05</v>
      </c>
      <c r="H162" s="5">
        <v>2137.5</v>
      </c>
      <c r="I162" s="5">
        <v>1507.5</v>
      </c>
      <c r="J162" t="s">
        <v>20</v>
      </c>
      <c r="K162" t="s">
        <v>16</v>
      </c>
      <c r="L162" t="str">
        <f t="shared" si="4"/>
        <v>2025-04</v>
      </c>
      <c r="M162" s="9">
        <f t="shared" si="5"/>
        <v>0.70526315789473681</v>
      </c>
    </row>
    <row r="163" spans="1:13" x14ac:dyDescent="0.3">
      <c r="A163" t="s">
        <v>314</v>
      </c>
      <c r="B163" s="3" t="s">
        <v>315</v>
      </c>
      <c r="C163" t="s">
        <v>18</v>
      </c>
      <c r="D163" t="s">
        <v>27</v>
      </c>
      <c r="E163">
        <v>4</v>
      </c>
      <c r="F163" s="5">
        <v>80</v>
      </c>
      <c r="G163" s="9">
        <v>0</v>
      </c>
      <c r="H163" s="5">
        <v>320</v>
      </c>
      <c r="I163" s="5">
        <v>200</v>
      </c>
      <c r="J163" t="s">
        <v>28</v>
      </c>
      <c r="K163" t="s">
        <v>29</v>
      </c>
      <c r="L163" t="str">
        <f t="shared" si="4"/>
        <v>2025-04</v>
      </c>
      <c r="M163" s="9">
        <f t="shared" si="5"/>
        <v>0.625</v>
      </c>
    </row>
    <row r="164" spans="1:13" x14ac:dyDescent="0.3">
      <c r="A164" t="s">
        <v>316</v>
      </c>
      <c r="B164" s="3" t="s">
        <v>317</v>
      </c>
      <c r="C164" t="s">
        <v>23</v>
      </c>
      <c r="D164" t="s">
        <v>24</v>
      </c>
      <c r="E164">
        <v>5</v>
      </c>
      <c r="F164" s="5">
        <v>10</v>
      </c>
      <c r="G164" s="9">
        <v>0.1</v>
      </c>
      <c r="H164" s="5">
        <v>45</v>
      </c>
      <c r="I164" s="5">
        <v>25</v>
      </c>
      <c r="J164" t="s">
        <v>44</v>
      </c>
      <c r="K164" t="s">
        <v>16</v>
      </c>
      <c r="L164" t="str">
        <f t="shared" si="4"/>
        <v>2025-04</v>
      </c>
      <c r="M164" s="9">
        <f t="shared" si="5"/>
        <v>0.55555555555555558</v>
      </c>
    </row>
    <row r="165" spans="1:13" x14ac:dyDescent="0.3">
      <c r="A165" t="s">
        <v>318</v>
      </c>
      <c r="B165" s="3" t="s">
        <v>317</v>
      </c>
      <c r="C165" t="s">
        <v>13</v>
      </c>
      <c r="D165" t="s">
        <v>41</v>
      </c>
      <c r="E165">
        <v>7</v>
      </c>
      <c r="F165" s="5">
        <v>450</v>
      </c>
      <c r="G165" s="9">
        <v>0</v>
      </c>
      <c r="H165" s="5">
        <v>3150</v>
      </c>
      <c r="I165" s="5">
        <v>2310</v>
      </c>
      <c r="J165" t="s">
        <v>15</v>
      </c>
      <c r="K165" t="s">
        <v>16</v>
      </c>
      <c r="L165" t="str">
        <f t="shared" si="4"/>
        <v>2025-04</v>
      </c>
      <c r="M165" s="9">
        <f t="shared" si="5"/>
        <v>0.73333333333333328</v>
      </c>
    </row>
    <row r="166" spans="1:13" x14ac:dyDescent="0.3">
      <c r="A166" t="s">
        <v>319</v>
      </c>
      <c r="B166" s="3" t="s">
        <v>320</v>
      </c>
      <c r="C166" t="s">
        <v>18</v>
      </c>
      <c r="D166" t="s">
        <v>27</v>
      </c>
      <c r="E166">
        <v>8</v>
      </c>
      <c r="F166" s="5">
        <v>80</v>
      </c>
      <c r="G166" s="9">
        <v>0</v>
      </c>
      <c r="H166" s="5">
        <v>640</v>
      </c>
      <c r="I166" s="5">
        <v>400</v>
      </c>
      <c r="J166" t="s">
        <v>20</v>
      </c>
      <c r="K166" t="s">
        <v>29</v>
      </c>
      <c r="L166" t="str">
        <f t="shared" si="4"/>
        <v>2025-04</v>
      </c>
      <c r="M166" s="9">
        <f t="shared" si="5"/>
        <v>0.625</v>
      </c>
    </row>
    <row r="167" spans="1:13" x14ac:dyDescent="0.3">
      <c r="A167" t="s">
        <v>321</v>
      </c>
      <c r="B167" s="3" t="s">
        <v>322</v>
      </c>
      <c r="C167" t="s">
        <v>13</v>
      </c>
      <c r="D167" t="s">
        <v>51</v>
      </c>
      <c r="E167">
        <v>5</v>
      </c>
      <c r="F167" s="5">
        <v>250</v>
      </c>
      <c r="G167" s="9">
        <v>0</v>
      </c>
      <c r="H167" s="5">
        <v>1250</v>
      </c>
      <c r="I167" s="5">
        <v>900</v>
      </c>
      <c r="J167" t="s">
        <v>44</v>
      </c>
      <c r="K167" t="s">
        <v>16</v>
      </c>
      <c r="L167" t="str">
        <f t="shared" si="4"/>
        <v>2025-05</v>
      </c>
      <c r="M167" s="9">
        <f t="shared" si="5"/>
        <v>0.72</v>
      </c>
    </row>
    <row r="168" spans="1:13" x14ac:dyDescent="0.3">
      <c r="A168" t="s">
        <v>323</v>
      </c>
      <c r="B168" s="3" t="s">
        <v>324</v>
      </c>
      <c r="C168" t="s">
        <v>18</v>
      </c>
      <c r="D168" t="s">
        <v>27</v>
      </c>
      <c r="E168">
        <v>1</v>
      </c>
      <c r="F168" s="5">
        <v>80</v>
      </c>
      <c r="G168" s="9">
        <v>0</v>
      </c>
      <c r="H168" s="5">
        <v>80</v>
      </c>
      <c r="I168" s="5">
        <v>50</v>
      </c>
      <c r="J168" t="s">
        <v>20</v>
      </c>
      <c r="K168" t="s">
        <v>16</v>
      </c>
      <c r="L168" t="str">
        <f t="shared" si="4"/>
        <v>2025-05</v>
      </c>
      <c r="M168" s="9">
        <f t="shared" si="5"/>
        <v>0.625</v>
      </c>
    </row>
    <row r="169" spans="1:13" x14ac:dyDescent="0.3">
      <c r="A169" t="s">
        <v>325</v>
      </c>
      <c r="B169" s="3" t="s">
        <v>324</v>
      </c>
      <c r="C169" t="s">
        <v>13</v>
      </c>
      <c r="D169" t="s">
        <v>38</v>
      </c>
      <c r="E169">
        <v>4</v>
      </c>
      <c r="F169" s="5">
        <v>150</v>
      </c>
      <c r="G169" s="9">
        <v>0.1</v>
      </c>
      <c r="H169" s="5">
        <v>540</v>
      </c>
      <c r="I169" s="5">
        <v>380</v>
      </c>
      <c r="J169" t="s">
        <v>15</v>
      </c>
      <c r="K169" t="s">
        <v>29</v>
      </c>
      <c r="L169" t="str">
        <f t="shared" si="4"/>
        <v>2025-05</v>
      </c>
      <c r="M169" s="9">
        <f t="shared" si="5"/>
        <v>0.70370370370370372</v>
      </c>
    </row>
    <row r="170" spans="1:13" x14ac:dyDescent="0.3">
      <c r="A170" t="s">
        <v>326</v>
      </c>
      <c r="B170" s="3" t="s">
        <v>327</v>
      </c>
      <c r="C170" t="s">
        <v>13</v>
      </c>
      <c r="D170" t="s">
        <v>14</v>
      </c>
      <c r="E170">
        <v>8</v>
      </c>
      <c r="F170" s="5">
        <v>110</v>
      </c>
      <c r="G170" s="9">
        <v>0</v>
      </c>
      <c r="H170" s="5">
        <v>880</v>
      </c>
      <c r="I170" s="5">
        <v>640</v>
      </c>
      <c r="J170" t="s">
        <v>15</v>
      </c>
      <c r="K170" t="s">
        <v>16</v>
      </c>
      <c r="L170" t="str">
        <f t="shared" si="4"/>
        <v>2025-05</v>
      </c>
      <c r="M170" s="9">
        <f t="shared" si="5"/>
        <v>0.72727272727272729</v>
      </c>
    </row>
    <row r="171" spans="1:13" x14ac:dyDescent="0.3">
      <c r="A171" t="s">
        <v>328</v>
      </c>
      <c r="B171" s="3" t="s">
        <v>329</v>
      </c>
      <c r="C171" t="s">
        <v>13</v>
      </c>
      <c r="D171" t="s">
        <v>38</v>
      </c>
      <c r="E171">
        <v>1</v>
      </c>
      <c r="F171" s="5">
        <v>150</v>
      </c>
      <c r="G171" s="9">
        <v>0</v>
      </c>
      <c r="H171" s="5">
        <v>150</v>
      </c>
      <c r="I171" s="5">
        <v>110</v>
      </c>
      <c r="J171" t="s">
        <v>20</v>
      </c>
      <c r="K171" t="s">
        <v>16</v>
      </c>
      <c r="L171" t="str">
        <f t="shared" si="4"/>
        <v>2025-05</v>
      </c>
      <c r="M171" s="9">
        <f t="shared" si="5"/>
        <v>0.73333333333333328</v>
      </c>
    </row>
    <row r="172" spans="1:13" x14ac:dyDescent="0.3">
      <c r="A172" t="s">
        <v>330</v>
      </c>
      <c r="B172" s="3" t="s">
        <v>331</v>
      </c>
      <c r="C172" t="s">
        <v>23</v>
      </c>
      <c r="D172" t="s">
        <v>31</v>
      </c>
      <c r="E172">
        <v>9</v>
      </c>
      <c r="F172" s="5">
        <v>25</v>
      </c>
      <c r="G172" s="9">
        <v>0</v>
      </c>
      <c r="H172" s="5">
        <v>225</v>
      </c>
      <c r="I172" s="5">
        <v>153</v>
      </c>
      <c r="J172" t="s">
        <v>20</v>
      </c>
      <c r="K172" t="s">
        <v>29</v>
      </c>
      <c r="L172" t="str">
        <f t="shared" si="4"/>
        <v>2025-05</v>
      </c>
      <c r="M172" s="9">
        <f t="shared" si="5"/>
        <v>0.68</v>
      </c>
    </row>
    <row r="173" spans="1:13" x14ac:dyDescent="0.3">
      <c r="A173" t="s">
        <v>332</v>
      </c>
      <c r="B173" s="3" t="s">
        <v>331</v>
      </c>
      <c r="C173" t="s">
        <v>23</v>
      </c>
      <c r="D173" t="s">
        <v>24</v>
      </c>
      <c r="E173">
        <v>9</v>
      </c>
      <c r="F173" s="5">
        <v>10</v>
      </c>
      <c r="G173" s="9">
        <v>0</v>
      </c>
      <c r="H173" s="5">
        <v>90</v>
      </c>
      <c r="I173" s="5">
        <v>54</v>
      </c>
      <c r="J173" t="s">
        <v>28</v>
      </c>
      <c r="K173" t="s">
        <v>29</v>
      </c>
      <c r="L173" t="str">
        <f t="shared" si="4"/>
        <v>2025-05</v>
      </c>
      <c r="M173" s="9">
        <f t="shared" si="5"/>
        <v>0.6</v>
      </c>
    </row>
    <row r="174" spans="1:13" x14ac:dyDescent="0.3">
      <c r="A174" t="s">
        <v>333</v>
      </c>
      <c r="B174" s="3" t="s">
        <v>334</v>
      </c>
      <c r="C174" t="s">
        <v>23</v>
      </c>
      <c r="D174" t="s">
        <v>24</v>
      </c>
      <c r="E174">
        <v>3</v>
      </c>
      <c r="F174" s="5">
        <v>10</v>
      </c>
      <c r="G174" s="9">
        <v>0</v>
      </c>
      <c r="H174" s="5">
        <v>30</v>
      </c>
      <c r="I174" s="5">
        <v>18</v>
      </c>
      <c r="J174" t="s">
        <v>28</v>
      </c>
      <c r="K174" t="s">
        <v>32</v>
      </c>
      <c r="L174" t="str">
        <f t="shared" si="4"/>
        <v>2025-05</v>
      </c>
      <c r="M174" s="9">
        <f t="shared" si="5"/>
        <v>0.6</v>
      </c>
    </row>
    <row r="175" spans="1:13" x14ac:dyDescent="0.3">
      <c r="A175" t="s">
        <v>335</v>
      </c>
      <c r="B175" s="3" t="s">
        <v>336</v>
      </c>
      <c r="C175" t="s">
        <v>23</v>
      </c>
      <c r="D175" t="s">
        <v>35</v>
      </c>
      <c r="E175">
        <v>7</v>
      </c>
      <c r="F175" s="5">
        <v>15</v>
      </c>
      <c r="G175" s="9">
        <v>0.05</v>
      </c>
      <c r="H175" s="5">
        <v>99.75</v>
      </c>
      <c r="I175" s="5">
        <v>64.75</v>
      </c>
      <c r="J175" t="s">
        <v>15</v>
      </c>
      <c r="K175" t="s">
        <v>32</v>
      </c>
      <c r="L175" t="str">
        <f t="shared" si="4"/>
        <v>2025-05</v>
      </c>
      <c r="M175" s="9">
        <f t="shared" si="5"/>
        <v>0.64912280701754388</v>
      </c>
    </row>
    <row r="176" spans="1:13" x14ac:dyDescent="0.3">
      <c r="A176" t="s">
        <v>337</v>
      </c>
      <c r="B176" s="3" t="s">
        <v>336</v>
      </c>
      <c r="C176" t="s">
        <v>23</v>
      </c>
      <c r="D176" t="s">
        <v>31</v>
      </c>
      <c r="E176">
        <v>1</v>
      </c>
      <c r="F176" s="5">
        <v>25</v>
      </c>
      <c r="G176" s="9">
        <v>0.05</v>
      </c>
      <c r="H176" s="5">
        <v>23.75</v>
      </c>
      <c r="I176" s="5">
        <v>15.75</v>
      </c>
      <c r="J176" t="s">
        <v>20</v>
      </c>
      <c r="K176" t="s">
        <v>32</v>
      </c>
      <c r="L176" t="str">
        <f t="shared" si="4"/>
        <v>2025-05</v>
      </c>
      <c r="M176" s="9">
        <f t="shared" si="5"/>
        <v>0.66315789473684206</v>
      </c>
    </row>
    <row r="177" spans="1:13" x14ac:dyDescent="0.3">
      <c r="A177" t="s">
        <v>338</v>
      </c>
      <c r="B177" s="3" t="s">
        <v>339</v>
      </c>
      <c r="C177" t="s">
        <v>18</v>
      </c>
      <c r="D177" t="s">
        <v>77</v>
      </c>
      <c r="E177">
        <v>9</v>
      </c>
      <c r="F177" s="5">
        <v>1200</v>
      </c>
      <c r="G177" s="9">
        <v>0.15</v>
      </c>
      <c r="H177" s="5">
        <v>9180</v>
      </c>
      <c r="I177" s="5">
        <v>6480</v>
      </c>
      <c r="J177" t="s">
        <v>15</v>
      </c>
      <c r="K177" t="s">
        <v>29</v>
      </c>
      <c r="L177" t="str">
        <f t="shared" si="4"/>
        <v>2025-05</v>
      </c>
      <c r="M177" s="9">
        <f t="shared" si="5"/>
        <v>0.70588235294117652</v>
      </c>
    </row>
    <row r="178" spans="1:13" x14ac:dyDescent="0.3">
      <c r="A178" t="s">
        <v>340</v>
      </c>
      <c r="B178" s="3" t="s">
        <v>341</v>
      </c>
      <c r="C178" t="s">
        <v>23</v>
      </c>
      <c r="D178" t="s">
        <v>24</v>
      </c>
      <c r="E178">
        <v>5</v>
      </c>
      <c r="F178" s="5">
        <v>10</v>
      </c>
      <c r="G178" s="9">
        <v>0</v>
      </c>
      <c r="H178" s="5">
        <v>50</v>
      </c>
      <c r="I178" s="5">
        <v>30</v>
      </c>
      <c r="J178" t="s">
        <v>44</v>
      </c>
      <c r="K178" t="s">
        <v>16</v>
      </c>
      <c r="L178" t="str">
        <f t="shared" si="4"/>
        <v>2025-05</v>
      </c>
      <c r="M178" s="9">
        <f t="shared" si="5"/>
        <v>0.6</v>
      </c>
    </row>
    <row r="179" spans="1:13" x14ac:dyDescent="0.3">
      <c r="A179" t="s">
        <v>342</v>
      </c>
      <c r="B179" s="3" t="s">
        <v>343</v>
      </c>
      <c r="C179" t="s">
        <v>23</v>
      </c>
      <c r="D179" t="s">
        <v>58</v>
      </c>
      <c r="E179">
        <v>8</v>
      </c>
      <c r="F179" s="5">
        <v>8</v>
      </c>
      <c r="G179" s="9">
        <v>0.2</v>
      </c>
      <c r="H179" s="5">
        <v>51.2</v>
      </c>
      <c r="I179" s="5">
        <v>27.2</v>
      </c>
      <c r="J179" t="s">
        <v>28</v>
      </c>
      <c r="K179" t="s">
        <v>29</v>
      </c>
      <c r="L179" t="str">
        <f t="shared" si="4"/>
        <v>2025-05</v>
      </c>
      <c r="M179" s="9">
        <f t="shared" si="5"/>
        <v>0.53125</v>
      </c>
    </row>
    <row r="180" spans="1:13" x14ac:dyDescent="0.3">
      <c r="A180" t="s">
        <v>344</v>
      </c>
      <c r="B180" s="3" t="s">
        <v>343</v>
      </c>
      <c r="C180" t="s">
        <v>23</v>
      </c>
      <c r="D180" t="s">
        <v>58</v>
      </c>
      <c r="E180">
        <v>2</v>
      </c>
      <c r="F180" s="5">
        <v>8</v>
      </c>
      <c r="G180" s="9">
        <v>0.05</v>
      </c>
      <c r="H180" s="5">
        <v>15.2</v>
      </c>
      <c r="I180" s="5">
        <v>9.1999999999999993</v>
      </c>
      <c r="J180" t="s">
        <v>20</v>
      </c>
      <c r="K180" t="s">
        <v>29</v>
      </c>
      <c r="L180" t="str">
        <f t="shared" si="4"/>
        <v>2025-05</v>
      </c>
      <c r="M180" s="9">
        <f t="shared" si="5"/>
        <v>0.60526315789473684</v>
      </c>
    </row>
    <row r="181" spans="1:13" x14ac:dyDescent="0.3">
      <c r="A181" t="s">
        <v>345</v>
      </c>
      <c r="B181" s="3" t="s">
        <v>346</v>
      </c>
      <c r="C181" t="s">
        <v>13</v>
      </c>
      <c r="D181" t="s">
        <v>67</v>
      </c>
      <c r="E181">
        <v>2</v>
      </c>
      <c r="F181" s="5">
        <v>35</v>
      </c>
      <c r="G181" s="9">
        <v>0.15</v>
      </c>
      <c r="H181" s="5">
        <v>59.5</v>
      </c>
      <c r="I181" s="5">
        <v>35.5</v>
      </c>
      <c r="J181" t="s">
        <v>44</v>
      </c>
      <c r="K181" t="s">
        <v>29</v>
      </c>
      <c r="L181" t="str">
        <f t="shared" si="4"/>
        <v>2025-05</v>
      </c>
      <c r="M181" s="9">
        <f t="shared" si="5"/>
        <v>0.59663865546218486</v>
      </c>
    </row>
    <row r="182" spans="1:13" x14ac:dyDescent="0.3">
      <c r="A182" t="s">
        <v>347</v>
      </c>
      <c r="B182" s="3" t="s">
        <v>348</v>
      </c>
      <c r="C182" t="s">
        <v>13</v>
      </c>
      <c r="D182" t="s">
        <v>51</v>
      </c>
      <c r="E182">
        <v>4</v>
      </c>
      <c r="F182" s="5">
        <v>250</v>
      </c>
      <c r="G182" s="9">
        <v>0.1</v>
      </c>
      <c r="H182" s="5">
        <v>900</v>
      </c>
      <c r="I182" s="5">
        <v>620</v>
      </c>
      <c r="J182" t="s">
        <v>44</v>
      </c>
      <c r="K182" t="s">
        <v>29</v>
      </c>
      <c r="L182" t="str">
        <f t="shared" si="4"/>
        <v>2025-05</v>
      </c>
      <c r="M182" s="9">
        <f t="shared" si="5"/>
        <v>0.68888888888888888</v>
      </c>
    </row>
    <row r="183" spans="1:13" x14ac:dyDescent="0.3">
      <c r="A183" t="s">
        <v>349</v>
      </c>
      <c r="B183" s="3" t="s">
        <v>350</v>
      </c>
      <c r="C183" t="s">
        <v>23</v>
      </c>
      <c r="D183" t="s">
        <v>24</v>
      </c>
      <c r="E183">
        <v>2</v>
      </c>
      <c r="F183" s="5">
        <v>10</v>
      </c>
      <c r="G183" s="9">
        <v>0</v>
      </c>
      <c r="H183" s="5">
        <v>20</v>
      </c>
      <c r="I183" s="5">
        <v>12</v>
      </c>
      <c r="J183" t="s">
        <v>28</v>
      </c>
      <c r="K183" t="s">
        <v>16</v>
      </c>
      <c r="L183" t="str">
        <f t="shared" si="4"/>
        <v>2025-05</v>
      </c>
      <c r="M183" s="9">
        <f t="shared" si="5"/>
        <v>0.6</v>
      </c>
    </row>
    <row r="184" spans="1:13" x14ac:dyDescent="0.3">
      <c r="A184" t="s">
        <v>351</v>
      </c>
      <c r="B184" s="3" t="s">
        <v>350</v>
      </c>
      <c r="C184" t="s">
        <v>23</v>
      </c>
      <c r="D184" t="s">
        <v>31</v>
      </c>
      <c r="E184">
        <v>2</v>
      </c>
      <c r="F184" s="5">
        <v>25</v>
      </c>
      <c r="G184" s="9">
        <v>0.15</v>
      </c>
      <c r="H184" s="5">
        <v>42.5</v>
      </c>
      <c r="I184" s="5">
        <v>26.5</v>
      </c>
      <c r="J184" t="s">
        <v>20</v>
      </c>
      <c r="K184" t="s">
        <v>32</v>
      </c>
      <c r="L184" t="str">
        <f t="shared" si="4"/>
        <v>2025-05</v>
      </c>
      <c r="M184" s="9">
        <f t="shared" si="5"/>
        <v>0.62352941176470589</v>
      </c>
    </row>
    <row r="185" spans="1:13" x14ac:dyDescent="0.3">
      <c r="A185" t="s">
        <v>352</v>
      </c>
      <c r="B185" s="3" t="s">
        <v>353</v>
      </c>
      <c r="C185" t="s">
        <v>13</v>
      </c>
      <c r="D185" t="s">
        <v>51</v>
      </c>
      <c r="E185">
        <v>5</v>
      </c>
      <c r="F185" s="5">
        <v>250</v>
      </c>
      <c r="G185" s="9">
        <v>0</v>
      </c>
      <c r="H185" s="5">
        <v>1250</v>
      </c>
      <c r="I185" s="5">
        <v>900</v>
      </c>
      <c r="J185" t="s">
        <v>20</v>
      </c>
      <c r="K185" t="s">
        <v>16</v>
      </c>
      <c r="L185" t="str">
        <f t="shared" si="4"/>
        <v>2025-05</v>
      </c>
      <c r="M185" s="9">
        <f t="shared" si="5"/>
        <v>0.72</v>
      </c>
    </row>
    <row r="186" spans="1:13" x14ac:dyDescent="0.3">
      <c r="A186" t="s">
        <v>354</v>
      </c>
      <c r="B186" s="3" t="s">
        <v>355</v>
      </c>
      <c r="C186" t="s">
        <v>13</v>
      </c>
      <c r="D186" t="s">
        <v>51</v>
      </c>
      <c r="E186">
        <v>7</v>
      </c>
      <c r="F186" s="5">
        <v>250</v>
      </c>
      <c r="G186" s="9">
        <v>0.05</v>
      </c>
      <c r="H186" s="5">
        <v>1662.5</v>
      </c>
      <c r="I186" s="5">
        <v>1172.5</v>
      </c>
      <c r="J186" t="s">
        <v>20</v>
      </c>
      <c r="K186" t="s">
        <v>16</v>
      </c>
      <c r="L186" t="str">
        <f t="shared" si="4"/>
        <v>2025-05</v>
      </c>
      <c r="M186" s="9">
        <f t="shared" si="5"/>
        <v>0.70526315789473681</v>
      </c>
    </row>
    <row r="187" spans="1:13" x14ac:dyDescent="0.3">
      <c r="A187" t="s">
        <v>356</v>
      </c>
      <c r="B187" s="3" t="s">
        <v>355</v>
      </c>
      <c r="C187" t="s">
        <v>13</v>
      </c>
      <c r="D187" t="s">
        <v>41</v>
      </c>
      <c r="E187">
        <v>4</v>
      </c>
      <c r="F187" s="5">
        <v>450</v>
      </c>
      <c r="G187" s="9">
        <v>0.1</v>
      </c>
      <c r="H187" s="5">
        <v>1620</v>
      </c>
      <c r="I187" s="5">
        <v>1140</v>
      </c>
      <c r="J187" t="s">
        <v>20</v>
      </c>
      <c r="K187" t="s">
        <v>16</v>
      </c>
      <c r="L187" t="str">
        <f t="shared" si="4"/>
        <v>2025-05</v>
      </c>
      <c r="M187" s="9">
        <f t="shared" si="5"/>
        <v>0.70370370370370372</v>
      </c>
    </row>
    <row r="188" spans="1:13" x14ac:dyDescent="0.3">
      <c r="A188" t="s">
        <v>357</v>
      </c>
      <c r="B188" s="3" t="s">
        <v>358</v>
      </c>
      <c r="C188" t="s">
        <v>23</v>
      </c>
      <c r="D188" t="s">
        <v>35</v>
      </c>
      <c r="E188">
        <v>1</v>
      </c>
      <c r="F188" s="5">
        <v>15</v>
      </c>
      <c r="G188" s="9">
        <v>0</v>
      </c>
      <c r="H188" s="5">
        <v>15</v>
      </c>
      <c r="I188" s="5">
        <v>10</v>
      </c>
      <c r="J188" t="s">
        <v>15</v>
      </c>
      <c r="K188" t="s">
        <v>32</v>
      </c>
      <c r="L188" t="str">
        <f t="shared" si="4"/>
        <v>2025-05</v>
      </c>
      <c r="M188" s="9">
        <f t="shared" si="5"/>
        <v>0.66666666666666663</v>
      </c>
    </row>
    <row r="189" spans="1:13" x14ac:dyDescent="0.3">
      <c r="A189" t="s">
        <v>359</v>
      </c>
      <c r="B189" s="3" t="s">
        <v>360</v>
      </c>
      <c r="C189" t="s">
        <v>23</v>
      </c>
      <c r="D189" t="s">
        <v>31</v>
      </c>
      <c r="E189">
        <v>6</v>
      </c>
      <c r="F189" s="5">
        <v>25</v>
      </c>
      <c r="G189" s="9">
        <v>0.2</v>
      </c>
      <c r="H189" s="5">
        <v>120</v>
      </c>
      <c r="I189" s="5">
        <v>72</v>
      </c>
      <c r="J189" t="s">
        <v>28</v>
      </c>
      <c r="K189" t="s">
        <v>29</v>
      </c>
      <c r="L189" t="str">
        <f t="shared" si="4"/>
        <v>2025-05</v>
      </c>
      <c r="M189" s="9">
        <f t="shared" si="5"/>
        <v>0.6</v>
      </c>
    </row>
    <row r="190" spans="1:13" x14ac:dyDescent="0.3">
      <c r="A190" t="s">
        <v>361</v>
      </c>
      <c r="B190" s="3" t="s">
        <v>362</v>
      </c>
      <c r="C190" t="s">
        <v>23</v>
      </c>
      <c r="D190" t="s">
        <v>24</v>
      </c>
      <c r="E190">
        <v>9</v>
      </c>
      <c r="F190" s="5">
        <v>10</v>
      </c>
      <c r="G190" s="9">
        <v>0.1</v>
      </c>
      <c r="H190" s="5">
        <v>81</v>
      </c>
      <c r="I190" s="5">
        <v>45</v>
      </c>
      <c r="J190" t="s">
        <v>15</v>
      </c>
      <c r="K190" t="s">
        <v>29</v>
      </c>
      <c r="L190" t="str">
        <f t="shared" si="4"/>
        <v>2025-05</v>
      </c>
      <c r="M190" s="9">
        <f t="shared" si="5"/>
        <v>0.55555555555555558</v>
      </c>
    </row>
    <row r="191" spans="1:13" x14ac:dyDescent="0.3">
      <c r="A191" t="s">
        <v>363</v>
      </c>
      <c r="B191" s="3" t="s">
        <v>362</v>
      </c>
      <c r="C191" t="s">
        <v>23</v>
      </c>
      <c r="D191" t="s">
        <v>31</v>
      </c>
      <c r="E191">
        <v>3</v>
      </c>
      <c r="F191" s="5">
        <v>25</v>
      </c>
      <c r="G191" s="9">
        <v>0.05</v>
      </c>
      <c r="H191" s="5">
        <v>71.25</v>
      </c>
      <c r="I191" s="5">
        <v>47.25</v>
      </c>
      <c r="J191" t="s">
        <v>15</v>
      </c>
      <c r="K191" t="s">
        <v>16</v>
      </c>
      <c r="L191" t="str">
        <f t="shared" si="4"/>
        <v>2025-05</v>
      </c>
      <c r="M191" s="9">
        <f t="shared" si="5"/>
        <v>0.66315789473684206</v>
      </c>
    </row>
    <row r="192" spans="1:13" x14ac:dyDescent="0.3">
      <c r="A192" t="s">
        <v>364</v>
      </c>
      <c r="B192" s="3" t="s">
        <v>365</v>
      </c>
      <c r="C192" t="s">
        <v>18</v>
      </c>
      <c r="D192" t="s">
        <v>77</v>
      </c>
      <c r="E192">
        <v>3</v>
      </c>
      <c r="F192" s="5">
        <v>1200</v>
      </c>
      <c r="G192" s="9">
        <v>0.1</v>
      </c>
      <c r="H192" s="5">
        <v>3240</v>
      </c>
      <c r="I192" s="5">
        <v>2340</v>
      </c>
      <c r="J192" t="s">
        <v>28</v>
      </c>
      <c r="K192" t="s">
        <v>29</v>
      </c>
      <c r="L192" t="str">
        <f t="shared" si="4"/>
        <v>2025-05</v>
      </c>
      <c r="M192" s="9">
        <f t="shared" si="5"/>
        <v>0.72222222222222221</v>
      </c>
    </row>
    <row r="193" spans="1:13" x14ac:dyDescent="0.3">
      <c r="A193" t="s">
        <v>366</v>
      </c>
      <c r="B193" s="3" t="s">
        <v>367</v>
      </c>
      <c r="C193" t="s">
        <v>18</v>
      </c>
      <c r="D193" t="s">
        <v>77</v>
      </c>
      <c r="E193">
        <v>3</v>
      </c>
      <c r="F193" s="5">
        <v>1200</v>
      </c>
      <c r="G193" s="9">
        <v>0.05</v>
      </c>
      <c r="H193" s="5">
        <v>3420</v>
      </c>
      <c r="I193" s="5">
        <v>2520</v>
      </c>
      <c r="J193" t="s">
        <v>44</v>
      </c>
      <c r="K193" t="s">
        <v>16</v>
      </c>
      <c r="L193" t="str">
        <f t="shared" si="4"/>
        <v>2025-05</v>
      </c>
      <c r="M193" s="9">
        <f t="shared" si="5"/>
        <v>0.73684210526315785</v>
      </c>
    </row>
    <row r="194" spans="1:13" x14ac:dyDescent="0.3">
      <c r="A194" t="s">
        <v>368</v>
      </c>
      <c r="B194" s="3" t="s">
        <v>369</v>
      </c>
      <c r="C194" t="s">
        <v>13</v>
      </c>
      <c r="D194" t="s">
        <v>41</v>
      </c>
      <c r="E194">
        <v>1</v>
      </c>
      <c r="F194" s="5">
        <v>450</v>
      </c>
      <c r="G194" s="9">
        <v>0</v>
      </c>
      <c r="H194" s="5">
        <v>450</v>
      </c>
      <c r="I194" s="5">
        <v>330</v>
      </c>
      <c r="J194" t="s">
        <v>28</v>
      </c>
      <c r="K194" t="s">
        <v>16</v>
      </c>
      <c r="L194" t="str">
        <f t="shared" si="4"/>
        <v>2025-05</v>
      </c>
      <c r="M194" s="9">
        <f t="shared" si="5"/>
        <v>0.73333333333333328</v>
      </c>
    </row>
    <row r="195" spans="1:13" x14ac:dyDescent="0.3">
      <c r="A195" t="s">
        <v>370</v>
      </c>
      <c r="B195" s="3" t="s">
        <v>369</v>
      </c>
      <c r="C195" t="s">
        <v>18</v>
      </c>
      <c r="D195" t="s">
        <v>77</v>
      </c>
      <c r="E195">
        <v>9</v>
      </c>
      <c r="F195" s="5">
        <v>1200</v>
      </c>
      <c r="G195" s="9">
        <v>0.15</v>
      </c>
      <c r="H195" s="5">
        <v>9180</v>
      </c>
      <c r="I195" s="5">
        <v>6480</v>
      </c>
      <c r="J195" t="s">
        <v>28</v>
      </c>
      <c r="K195" t="s">
        <v>29</v>
      </c>
      <c r="L195" t="str">
        <f t="shared" ref="L195:L258" si="6">TEXT(B195, "YYYY-MM")</f>
        <v>2025-05</v>
      </c>
      <c r="M195" s="9">
        <f t="shared" ref="M195:M258" si="7">I195/H195</f>
        <v>0.70588235294117652</v>
      </c>
    </row>
    <row r="196" spans="1:13" x14ac:dyDescent="0.3">
      <c r="A196" t="s">
        <v>371</v>
      </c>
      <c r="B196" s="3" t="s">
        <v>372</v>
      </c>
      <c r="C196" t="s">
        <v>13</v>
      </c>
      <c r="D196" t="s">
        <v>38</v>
      </c>
      <c r="E196">
        <v>9</v>
      </c>
      <c r="F196" s="5">
        <v>150</v>
      </c>
      <c r="G196" s="9">
        <v>0</v>
      </c>
      <c r="H196" s="5">
        <v>1350</v>
      </c>
      <c r="I196" s="5">
        <v>990</v>
      </c>
      <c r="J196" t="s">
        <v>28</v>
      </c>
      <c r="K196" t="s">
        <v>16</v>
      </c>
      <c r="L196" t="str">
        <f t="shared" si="6"/>
        <v>2025-05</v>
      </c>
      <c r="M196" s="9">
        <f t="shared" si="7"/>
        <v>0.73333333333333328</v>
      </c>
    </row>
    <row r="197" spans="1:13" x14ac:dyDescent="0.3">
      <c r="A197" t="s">
        <v>373</v>
      </c>
      <c r="B197" s="3" t="s">
        <v>374</v>
      </c>
      <c r="C197" t="s">
        <v>18</v>
      </c>
      <c r="D197" t="s">
        <v>77</v>
      </c>
      <c r="E197">
        <v>5</v>
      </c>
      <c r="F197" s="5">
        <v>1200</v>
      </c>
      <c r="G197" s="9">
        <v>0.1</v>
      </c>
      <c r="H197" s="5">
        <v>5400</v>
      </c>
      <c r="I197" s="5">
        <v>3900</v>
      </c>
      <c r="J197" t="s">
        <v>15</v>
      </c>
      <c r="K197" t="s">
        <v>16</v>
      </c>
      <c r="L197" t="str">
        <f t="shared" si="6"/>
        <v>2025-05</v>
      </c>
      <c r="M197" s="9">
        <f t="shared" si="7"/>
        <v>0.72222222222222221</v>
      </c>
    </row>
    <row r="198" spans="1:13" x14ac:dyDescent="0.3">
      <c r="A198" t="s">
        <v>375</v>
      </c>
      <c r="B198" s="3" t="s">
        <v>374</v>
      </c>
      <c r="C198" t="s">
        <v>18</v>
      </c>
      <c r="D198" t="s">
        <v>27</v>
      </c>
      <c r="E198">
        <v>5</v>
      </c>
      <c r="F198" s="5">
        <v>80</v>
      </c>
      <c r="G198" s="9">
        <v>0</v>
      </c>
      <c r="H198" s="5">
        <v>400</v>
      </c>
      <c r="I198" s="5">
        <v>250</v>
      </c>
      <c r="J198" t="s">
        <v>44</v>
      </c>
      <c r="K198" t="s">
        <v>32</v>
      </c>
      <c r="L198" t="str">
        <f t="shared" si="6"/>
        <v>2025-05</v>
      </c>
      <c r="M198" s="9">
        <f t="shared" si="7"/>
        <v>0.625</v>
      </c>
    </row>
    <row r="199" spans="1:13" x14ac:dyDescent="0.3">
      <c r="A199" t="s">
        <v>376</v>
      </c>
      <c r="B199" s="3" t="s">
        <v>377</v>
      </c>
      <c r="C199" t="s">
        <v>18</v>
      </c>
      <c r="D199" t="s">
        <v>128</v>
      </c>
      <c r="E199">
        <v>5</v>
      </c>
      <c r="F199" s="5">
        <v>350</v>
      </c>
      <c r="G199" s="9">
        <v>0.2</v>
      </c>
      <c r="H199" s="5">
        <v>1400</v>
      </c>
      <c r="I199" s="5">
        <v>950</v>
      </c>
      <c r="J199" t="s">
        <v>15</v>
      </c>
      <c r="K199" t="s">
        <v>32</v>
      </c>
      <c r="L199" t="str">
        <f t="shared" si="6"/>
        <v>2025-05</v>
      </c>
      <c r="M199" s="9">
        <f t="shared" si="7"/>
        <v>0.6785714285714286</v>
      </c>
    </row>
    <row r="200" spans="1:13" x14ac:dyDescent="0.3">
      <c r="A200" t="s">
        <v>378</v>
      </c>
      <c r="B200" s="3" t="s">
        <v>379</v>
      </c>
      <c r="C200" t="s">
        <v>13</v>
      </c>
      <c r="D200" t="s">
        <v>38</v>
      </c>
      <c r="E200">
        <v>3</v>
      </c>
      <c r="F200" s="5">
        <v>150</v>
      </c>
      <c r="G200" s="9">
        <v>0</v>
      </c>
      <c r="H200" s="5">
        <v>450</v>
      </c>
      <c r="I200" s="5">
        <v>330</v>
      </c>
      <c r="J200" t="s">
        <v>20</v>
      </c>
      <c r="K200" t="s">
        <v>29</v>
      </c>
      <c r="L200" t="str">
        <f t="shared" si="6"/>
        <v>2025-05</v>
      </c>
      <c r="M200" s="9">
        <f t="shared" si="7"/>
        <v>0.73333333333333328</v>
      </c>
    </row>
    <row r="201" spans="1:13" x14ac:dyDescent="0.3">
      <c r="A201" t="s">
        <v>380</v>
      </c>
      <c r="B201" s="3" t="s">
        <v>381</v>
      </c>
      <c r="C201" t="s">
        <v>18</v>
      </c>
      <c r="D201" t="s">
        <v>27</v>
      </c>
      <c r="E201">
        <v>8</v>
      </c>
      <c r="F201" s="5">
        <v>80</v>
      </c>
      <c r="G201" s="9">
        <v>0</v>
      </c>
      <c r="H201" s="5">
        <v>640</v>
      </c>
      <c r="I201" s="5">
        <v>400</v>
      </c>
      <c r="J201" t="s">
        <v>15</v>
      </c>
      <c r="K201" t="s">
        <v>16</v>
      </c>
      <c r="L201" t="str">
        <f t="shared" si="6"/>
        <v>2025-05</v>
      </c>
      <c r="M201" s="9">
        <f t="shared" si="7"/>
        <v>0.625</v>
      </c>
    </row>
    <row r="202" spans="1:13" x14ac:dyDescent="0.3">
      <c r="A202" t="s">
        <v>382</v>
      </c>
      <c r="B202" s="3" t="s">
        <v>381</v>
      </c>
      <c r="C202" t="s">
        <v>18</v>
      </c>
      <c r="D202" t="s">
        <v>19</v>
      </c>
      <c r="E202">
        <v>9</v>
      </c>
      <c r="F202" s="5">
        <v>40</v>
      </c>
      <c r="G202" s="9">
        <v>0.15</v>
      </c>
      <c r="H202" s="5">
        <v>306</v>
      </c>
      <c r="I202" s="5">
        <v>171</v>
      </c>
      <c r="J202" t="s">
        <v>15</v>
      </c>
      <c r="K202" t="s">
        <v>29</v>
      </c>
      <c r="L202" t="str">
        <f t="shared" si="6"/>
        <v>2025-05</v>
      </c>
      <c r="M202" s="9">
        <f t="shared" si="7"/>
        <v>0.55882352941176472</v>
      </c>
    </row>
    <row r="203" spans="1:13" x14ac:dyDescent="0.3">
      <c r="A203" t="s">
        <v>383</v>
      </c>
      <c r="B203" s="3" t="s">
        <v>384</v>
      </c>
      <c r="C203" t="s">
        <v>18</v>
      </c>
      <c r="D203" t="s">
        <v>19</v>
      </c>
      <c r="E203">
        <v>9</v>
      </c>
      <c r="F203" s="5">
        <v>40</v>
      </c>
      <c r="G203" s="9">
        <v>0</v>
      </c>
      <c r="H203" s="5">
        <v>360</v>
      </c>
      <c r="I203" s="5">
        <v>225</v>
      </c>
      <c r="J203" t="s">
        <v>28</v>
      </c>
      <c r="K203" t="s">
        <v>16</v>
      </c>
      <c r="L203" t="str">
        <f t="shared" si="6"/>
        <v>2025-05</v>
      </c>
      <c r="M203" s="9">
        <f t="shared" si="7"/>
        <v>0.625</v>
      </c>
    </row>
    <row r="204" spans="1:13" x14ac:dyDescent="0.3">
      <c r="A204" t="s">
        <v>385</v>
      </c>
      <c r="B204" s="3" t="s">
        <v>386</v>
      </c>
      <c r="C204" t="s">
        <v>18</v>
      </c>
      <c r="D204" t="s">
        <v>61</v>
      </c>
      <c r="E204">
        <v>4</v>
      </c>
      <c r="F204" s="5">
        <v>25</v>
      </c>
      <c r="G204" s="9">
        <v>0.05</v>
      </c>
      <c r="H204" s="5">
        <v>95</v>
      </c>
      <c r="I204" s="5">
        <v>55</v>
      </c>
      <c r="J204" t="s">
        <v>20</v>
      </c>
      <c r="K204" t="s">
        <v>16</v>
      </c>
      <c r="L204" t="str">
        <f t="shared" si="6"/>
        <v>2025-05</v>
      </c>
      <c r="M204" s="9">
        <f t="shared" si="7"/>
        <v>0.57894736842105265</v>
      </c>
    </row>
    <row r="205" spans="1:13" x14ac:dyDescent="0.3">
      <c r="A205" t="s">
        <v>387</v>
      </c>
      <c r="B205" s="3" t="s">
        <v>388</v>
      </c>
      <c r="C205" t="s">
        <v>18</v>
      </c>
      <c r="D205" t="s">
        <v>19</v>
      </c>
      <c r="E205">
        <v>1</v>
      </c>
      <c r="F205" s="5">
        <v>40</v>
      </c>
      <c r="G205" s="9">
        <v>0.05</v>
      </c>
      <c r="H205" s="5">
        <v>38</v>
      </c>
      <c r="I205" s="5">
        <v>23</v>
      </c>
      <c r="J205" t="s">
        <v>15</v>
      </c>
      <c r="K205" t="s">
        <v>16</v>
      </c>
      <c r="L205" t="str">
        <f t="shared" si="6"/>
        <v>2025-05</v>
      </c>
      <c r="M205" s="9">
        <f t="shared" si="7"/>
        <v>0.60526315789473684</v>
      </c>
    </row>
    <row r="206" spans="1:13" x14ac:dyDescent="0.3">
      <c r="A206" t="s">
        <v>389</v>
      </c>
      <c r="B206" s="3" t="s">
        <v>388</v>
      </c>
      <c r="C206" t="s">
        <v>18</v>
      </c>
      <c r="D206" t="s">
        <v>19</v>
      </c>
      <c r="E206">
        <v>3</v>
      </c>
      <c r="F206" s="5">
        <v>40</v>
      </c>
      <c r="G206" s="9">
        <v>0</v>
      </c>
      <c r="H206" s="5">
        <v>120</v>
      </c>
      <c r="I206" s="5">
        <v>75</v>
      </c>
      <c r="J206" t="s">
        <v>15</v>
      </c>
      <c r="K206" t="s">
        <v>16</v>
      </c>
      <c r="L206" t="str">
        <f t="shared" si="6"/>
        <v>2025-05</v>
      </c>
      <c r="M206" s="9">
        <f t="shared" si="7"/>
        <v>0.625</v>
      </c>
    </row>
    <row r="207" spans="1:13" x14ac:dyDescent="0.3">
      <c r="A207" t="s">
        <v>390</v>
      </c>
      <c r="B207" s="3" t="s">
        <v>391</v>
      </c>
      <c r="C207" t="s">
        <v>13</v>
      </c>
      <c r="D207" t="s">
        <v>41</v>
      </c>
      <c r="E207">
        <v>5</v>
      </c>
      <c r="F207" s="5">
        <v>450</v>
      </c>
      <c r="G207" s="9">
        <v>0</v>
      </c>
      <c r="H207" s="5">
        <v>2250</v>
      </c>
      <c r="I207" s="5">
        <v>1650</v>
      </c>
      <c r="J207" t="s">
        <v>28</v>
      </c>
      <c r="K207" t="s">
        <v>29</v>
      </c>
      <c r="L207" t="str">
        <f t="shared" si="6"/>
        <v>2025-05</v>
      </c>
      <c r="M207" s="9">
        <f t="shared" si="7"/>
        <v>0.73333333333333328</v>
      </c>
    </row>
    <row r="208" spans="1:13" x14ac:dyDescent="0.3">
      <c r="A208" t="s">
        <v>392</v>
      </c>
      <c r="B208" s="3" t="s">
        <v>393</v>
      </c>
      <c r="C208" t="s">
        <v>18</v>
      </c>
      <c r="D208" t="s">
        <v>27</v>
      </c>
      <c r="E208">
        <v>1</v>
      </c>
      <c r="F208" s="5">
        <v>80</v>
      </c>
      <c r="G208" s="9">
        <v>0.1</v>
      </c>
      <c r="H208" s="5">
        <v>72</v>
      </c>
      <c r="I208" s="5">
        <v>42</v>
      </c>
      <c r="J208" t="s">
        <v>20</v>
      </c>
      <c r="K208" t="s">
        <v>29</v>
      </c>
      <c r="L208" t="str">
        <f t="shared" si="6"/>
        <v>2025-05</v>
      </c>
      <c r="M208" s="9">
        <f t="shared" si="7"/>
        <v>0.58333333333333337</v>
      </c>
    </row>
    <row r="209" spans="1:13" x14ac:dyDescent="0.3">
      <c r="A209" t="s">
        <v>394</v>
      </c>
      <c r="B209" s="3" t="s">
        <v>393</v>
      </c>
      <c r="C209" t="s">
        <v>18</v>
      </c>
      <c r="D209" t="s">
        <v>27</v>
      </c>
      <c r="E209">
        <v>2</v>
      </c>
      <c r="F209" s="5">
        <v>80</v>
      </c>
      <c r="G209" s="9">
        <v>0.15</v>
      </c>
      <c r="H209" s="5">
        <v>136</v>
      </c>
      <c r="I209" s="5">
        <v>76</v>
      </c>
      <c r="J209" t="s">
        <v>28</v>
      </c>
      <c r="K209" t="s">
        <v>32</v>
      </c>
      <c r="L209" t="str">
        <f t="shared" si="6"/>
        <v>2025-05</v>
      </c>
      <c r="M209" s="9">
        <f t="shared" si="7"/>
        <v>0.55882352941176472</v>
      </c>
    </row>
    <row r="210" spans="1:13" x14ac:dyDescent="0.3">
      <c r="A210" t="s">
        <v>395</v>
      </c>
      <c r="B210" s="3" t="s">
        <v>396</v>
      </c>
      <c r="C210" t="s">
        <v>23</v>
      </c>
      <c r="D210" t="s">
        <v>58</v>
      </c>
      <c r="E210">
        <v>4</v>
      </c>
      <c r="F210" s="5">
        <v>8</v>
      </c>
      <c r="G210" s="9">
        <v>0.1</v>
      </c>
      <c r="H210" s="5">
        <v>28.8</v>
      </c>
      <c r="I210" s="5">
        <v>16.8</v>
      </c>
      <c r="J210" t="s">
        <v>15</v>
      </c>
      <c r="K210" t="s">
        <v>16</v>
      </c>
      <c r="L210" t="str">
        <f t="shared" si="6"/>
        <v>2025-06</v>
      </c>
      <c r="M210" s="9">
        <f t="shared" si="7"/>
        <v>0.58333333333333337</v>
      </c>
    </row>
    <row r="211" spans="1:13" x14ac:dyDescent="0.3">
      <c r="A211" t="s">
        <v>397</v>
      </c>
      <c r="B211" s="3" t="s">
        <v>398</v>
      </c>
      <c r="C211" t="s">
        <v>18</v>
      </c>
      <c r="D211" t="s">
        <v>27</v>
      </c>
      <c r="E211">
        <v>7</v>
      </c>
      <c r="F211" s="5">
        <v>80</v>
      </c>
      <c r="G211" s="9">
        <v>0</v>
      </c>
      <c r="H211" s="5">
        <v>560</v>
      </c>
      <c r="I211" s="5">
        <v>350</v>
      </c>
      <c r="J211" t="s">
        <v>15</v>
      </c>
      <c r="K211" t="s">
        <v>32</v>
      </c>
      <c r="L211" t="str">
        <f t="shared" si="6"/>
        <v>2025-06</v>
      </c>
      <c r="M211" s="9">
        <f t="shared" si="7"/>
        <v>0.625</v>
      </c>
    </row>
    <row r="212" spans="1:13" x14ac:dyDescent="0.3">
      <c r="A212" t="s">
        <v>399</v>
      </c>
      <c r="B212" s="3" t="s">
        <v>400</v>
      </c>
      <c r="C212" t="s">
        <v>13</v>
      </c>
      <c r="D212" t="s">
        <v>14</v>
      </c>
      <c r="E212">
        <v>9</v>
      </c>
      <c r="F212" s="5">
        <v>110</v>
      </c>
      <c r="G212" s="9">
        <v>0</v>
      </c>
      <c r="H212" s="5">
        <v>990</v>
      </c>
      <c r="I212" s="5">
        <v>720</v>
      </c>
      <c r="J212" t="s">
        <v>20</v>
      </c>
      <c r="K212" t="s">
        <v>29</v>
      </c>
      <c r="L212" t="str">
        <f t="shared" si="6"/>
        <v>2025-06</v>
      </c>
      <c r="M212" s="9">
        <f t="shared" si="7"/>
        <v>0.72727272727272729</v>
      </c>
    </row>
    <row r="213" spans="1:13" x14ac:dyDescent="0.3">
      <c r="A213" t="s">
        <v>401</v>
      </c>
      <c r="B213" s="3" t="s">
        <v>400</v>
      </c>
      <c r="C213" t="s">
        <v>18</v>
      </c>
      <c r="D213" t="s">
        <v>61</v>
      </c>
      <c r="E213">
        <v>4</v>
      </c>
      <c r="F213" s="5">
        <v>25</v>
      </c>
      <c r="G213" s="9">
        <v>0.05</v>
      </c>
      <c r="H213" s="5">
        <v>95</v>
      </c>
      <c r="I213" s="5">
        <v>55</v>
      </c>
      <c r="J213" t="s">
        <v>15</v>
      </c>
      <c r="K213" t="s">
        <v>32</v>
      </c>
      <c r="L213" t="str">
        <f t="shared" si="6"/>
        <v>2025-06</v>
      </c>
      <c r="M213" s="9">
        <f t="shared" si="7"/>
        <v>0.57894736842105265</v>
      </c>
    </row>
    <row r="214" spans="1:13" x14ac:dyDescent="0.3">
      <c r="A214" t="s">
        <v>402</v>
      </c>
      <c r="B214" s="3" t="s">
        <v>403</v>
      </c>
      <c r="C214" t="s">
        <v>18</v>
      </c>
      <c r="D214" t="s">
        <v>128</v>
      </c>
      <c r="E214">
        <v>5</v>
      </c>
      <c r="F214" s="5">
        <v>350</v>
      </c>
      <c r="G214" s="9">
        <v>0.15</v>
      </c>
      <c r="H214" s="5">
        <v>1487.5</v>
      </c>
      <c r="I214" s="5">
        <v>1037.5</v>
      </c>
      <c r="J214" t="s">
        <v>28</v>
      </c>
      <c r="K214" t="s">
        <v>32</v>
      </c>
      <c r="L214" t="str">
        <f t="shared" si="6"/>
        <v>2025-06</v>
      </c>
      <c r="M214" s="9">
        <f t="shared" si="7"/>
        <v>0.69747899159663862</v>
      </c>
    </row>
    <row r="215" spans="1:13" x14ac:dyDescent="0.3">
      <c r="A215" t="s">
        <v>404</v>
      </c>
      <c r="B215" s="3" t="s">
        <v>405</v>
      </c>
      <c r="C215" t="s">
        <v>23</v>
      </c>
      <c r="D215" t="s">
        <v>31</v>
      </c>
      <c r="E215">
        <v>3</v>
      </c>
      <c r="F215" s="5">
        <v>25</v>
      </c>
      <c r="G215" s="9">
        <v>0</v>
      </c>
      <c r="H215" s="5">
        <v>75</v>
      </c>
      <c r="I215" s="5">
        <v>51</v>
      </c>
      <c r="J215" t="s">
        <v>44</v>
      </c>
      <c r="K215" t="s">
        <v>29</v>
      </c>
      <c r="L215" t="str">
        <f t="shared" si="6"/>
        <v>2025-06</v>
      </c>
      <c r="M215" s="9">
        <f t="shared" si="7"/>
        <v>0.68</v>
      </c>
    </row>
    <row r="216" spans="1:13" x14ac:dyDescent="0.3">
      <c r="A216" t="s">
        <v>406</v>
      </c>
      <c r="B216" s="3" t="s">
        <v>407</v>
      </c>
      <c r="C216" t="s">
        <v>23</v>
      </c>
      <c r="D216" t="s">
        <v>58</v>
      </c>
      <c r="E216">
        <v>1</v>
      </c>
      <c r="F216" s="5">
        <v>8</v>
      </c>
      <c r="G216" s="9">
        <v>0.05</v>
      </c>
      <c r="H216" s="5">
        <v>7.6</v>
      </c>
      <c r="I216" s="5">
        <v>4.5999999999999996</v>
      </c>
      <c r="J216" t="s">
        <v>44</v>
      </c>
      <c r="K216" t="s">
        <v>32</v>
      </c>
      <c r="L216" t="str">
        <f t="shared" si="6"/>
        <v>2025-06</v>
      </c>
      <c r="M216" s="9">
        <f t="shared" si="7"/>
        <v>0.60526315789473684</v>
      </c>
    </row>
    <row r="217" spans="1:13" x14ac:dyDescent="0.3">
      <c r="A217" t="s">
        <v>408</v>
      </c>
      <c r="B217" s="3" t="s">
        <v>407</v>
      </c>
      <c r="C217" t="s">
        <v>13</v>
      </c>
      <c r="D217" t="s">
        <v>67</v>
      </c>
      <c r="E217">
        <v>9</v>
      </c>
      <c r="F217" s="5">
        <v>35</v>
      </c>
      <c r="G217" s="9">
        <v>0.15</v>
      </c>
      <c r="H217" s="5">
        <v>267.75</v>
      </c>
      <c r="I217" s="5">
        <v>159.75</v>
      </c>
      <c r="J217" t="s">
        <v>20</v>
      </c>
      <c r="K217" t="s">
        <v>29</v>
      </c>
      <c r="L217" t="str">
        <f t="shared" si="6"/>
        <v>2025-06</v>
      </c>
      <c r="M217" s="9">
        <f t="shared" si="7"/>
        <v>0.59663865546218486</v>
      </c>
    </row>
    <row r="218" spans="1:13" x14ac:dyDescent="0.3">
      <c r="A218" t="s">
        <v>409</v>
      </c>
      <c r="B218" s="3" t="s">
        <v>410</v>
      </c>
      <c r="C218" t="s">
        <v>23</v>
      </c>
      <c r="D218" t="s">
        <v>43</v>
      </c>
      <c r="E218">
        <v>7</v>
      </c>
      <c r="F218" s="5">
        <v>20</v>
      </c>
      <c r="G218" s="9">
        <v>0.05</v>
      </c>
      <c r="H218" s="5">
        <v>133</v>
      </c>
      <c r="I218" s="5">
        <v>84</v>
      </c>
      <c r="J218" t="s">
        <v>15</v>
      </c>
      <c r="K218" t="s">
        <v>16</v>
      </c>
      <c r="L218" t="str">
        <f t="shared" si="6"/>
        <v>2025-06</v>
      </c>
      <c r="M218" s="9">
        <f t="shared" si="7"/>
        <v>0.63157894736842102</v>
      </c>
    </row>
    <row r="219" spans="1:13" x14ac:dyDescent="0.3">
      <c r="A219" t="s">
        <v>411</v>
      </c>
      <c r="B219" s="3" t="s">
        <v>412</v>
      </c>
      <c r="C219" t="s">
        <v>23</v>
      </c>
      <c r="D219" t="s">
        <v>58</v>
      </c>
      <c r="E219">
        <v>4</v>
      </c>
      <c r="F219" s="5">
        <v>8</v>
      </c>
      <c r="G219" s="9">
        <v>0.1</v>
      </c>
      <c r="H219" s="5">
        <v>28.8</v>
      </c>
      <c r="I219" s="5">
        <v>16.8</v>
      </c>
      <c r="J219" t="s">
        <v>44</v>
      </c>
      <c r="K219" t="s">
        <v>16</v>
      </c>
      <c r="L219" t="str">
        <f t="shared" si="6"/>
        <v>2025-06</v>
      </c>
      <c r="M219" s="9">
        <f t="shared" si="7"/>
        <v>0.58333333333333337</v>
      </c>
    </row>
    <row r="220" spans="1:13" x14ac:dyDescent="0.3">
      <c r="A220" t="s">
        <v>413</v>
      </c>
      <c r="B220" s="3" t="s">
        <v>414</v>
      </c>
      <c r="C220" t="s">
        <v>18</v>
      </c>
      <c r="D220" t="s">
        <v>128</v>
      </c>
      <c r="E220">
        <v>4</v>
      </c>
      <c r="F220" s="5">
        <v>350</v>
      </c>
      <c r="G220" s="9">
        <v>0</v>
      </c>
      <c r="H220" s="5">
        <v>1400</v>
      </c>
      <c r="I220" s="5">
        <v>1040</v>
      </c>
      <c r="J220" t="s">
        <v>15</v>
      </c>
      <c r="K220" t="s">
        <v>29</v>
      </c>
      <c r="L220" t="str">
        <f t="shared" si="6"/>
        <v>2025-06</v>
      </c>
      <c r="M220" s="9">
        <f t="shared" si="7"/>
        <v>0.74285714285714288</v>
      </c>
    </row>
    <row r="221" spans="1:13" x14ac:dyDescent="0.3">
      <c r="A221" t="s">
        <v>415</v>
      </c>
      <c r="B221" s="3" t="s">
        <v>414</v>
      </c>
      <c r="C221" t="s">
        <v>18</v>
      </c>
      <c r="D221" t="s">
        <v>19</v>
      </c>
      <c r="E221">
        <v>5</v>
      </c>
      <c r="F221" s="5">
        <v>40</v>
      </c>
      <c r="G221" s="9">
        <v>0.05</v>
      </c>
      <c r="H221" s="5">
        <v>190</v>
      </c>
      <c r="I221" s="5">
        <v>115</v>
      </c>
      <c r="J221" t="s">
        <v>44</v>
      </c>
      <c r="K221" t="s">
        <v>32</v>
      </c>
      <c r="L221" t="str">
        <f t="shared" si="6"/>
        <v>2025-06</v>
      </c>
      <c r="M221" s="9">
        <f t="shared" si="7"/>
        <v>0.60526315789473684</v>
      </c>
    </row>
    <row r="222" spans="1:13" x14ac:dyDescent="0.3">
      <c r="A222" t="s">
        <v>416</v>
      </c>
      <c r="B222" s="3" t="s">
        <v>417</v>
      </c>
      <c r="C222" t="s">
        <v>18</v>
      </c>
      <c r="D222" t="s">
        <v>19</v>
      </c>
      <c r="E222">
        <v>2</v>
      </c>
      <c r="F222" s="5">
        <v>40</v>
      </c>
      <c r="G222" s="9">
        <v>0.05</v>
      </c>
      <c r="H222" s="5">
        <v>76</v>
      </c>
      <c r="I222" s="5">
        <v>46</v>
      </c>
      <c r="J222" t="s">
        <v>44</v>
      </c>
      <c r="K222" t="s">
        <v>32</v>
      </c>
      <c r="L222" t="str">
        <f t="shared" si="6"/>
        <v>2025-06</v>
      </c>
      <c r="M222" s="9">
        <f t="shared" si="7"/>
        <v>0.60526315789473684</v>
      </c>
    </row>
    <row r="223" spans="1:13" x14ac:dyDescent="0.3">
      <c r="A223" t="s">
        <v>418</v>
      </c>
      <c r="B223" s="3" t="s">
        <v>419</v>
      </c>
      <c r="C223" t="s">
        <v>23</v>
      </c>
      <c r="D223" t="s">
        <v>58</v>
      </c>
      <c r="E223">
        <v>9</v>
      </c>
      <c r="F223" s="5">
        <v>8</v>
      </c>
      <c r="G223" s="9">
        <v>0.15</v>
      </c>
      <c r="H223" s="5">
        <v>61.2</v>
      </c>
      <c r="I223" s="5">
        <v>34.200000000000003</v>
      </c>
      <c r="J223" t="s">
        <v>20</v>
      </c>
      <c r="K223" t="s">
        <v>16</v>
      </c>
      <c r="L223" t="str">
        <f t="shared" si="6"/>
        <v>2025-06</v>
      </c>
      <c r="M223" s="9">
        <f t="shared" si="7"/>
        <v>0.55882352941176472</v>
      </c>
    </row>
    <row r="224" spans="1:13" x14ac:dyDescent="0.3">
      <c r="A224" t="s">
        <v>420</v>
      </c>
      <c r="B224" s="3" t="s">
        <v>419</v>
      </c>
      <c r="C224" t="s">
        <v>13</v>
      </c>
      <c r="D224" t="s">
        <v>51</v>
      </c>
      <c r="E224">
        <v>1</v>
      </c>
      <c r="F224" s="5">
        <v>250</v>
      </c>
      <c r="G224" s="9">
        <v>0</v>
      </c>
      <c r="H224" s="5">
        <v>250</v>
      </c>
      <c r="I224" s="5">
        <v>180</v>
      </c>
      <c r="J224" t="s">
        <v>20</v>
      </c>
      <c r="K224" t="s">
        <v>16</v>
      </c>
      <c r="L224" t="str">
        <f t="shared" si="6"/>
        <v>2025-06</v>
      </c>
      <c r="M224" s="9">
        <f t="shared" si="7"/>
        <v>0.72</v>
      </c>
    </row>
    <row r="225" spans="1:13" x14ac:dyDescent="0.3">
      <c r="A225" t="s">
        <v>421</v>
      </c>
      <c r="B225" s="3" t="s">
        <v>422</v>
      </c>
      <c r="C225" t="s">
        <v>13</v>
      </c>
      <c r="D225" t="s">
        <v>67</v>
      </c>
      <c r="E225">
        <v>4</v>
      </c>
      <c r="F225" s="5">
        <v>35</v>
      </c>
      <c r="G225" s="9">
        <v>0</v>
      </c>
      <c r="H225" s="5">
        <v>140</v>
      </c>
      <c r="I225" s="5">
        <v>92</v>
      </c>
      <c r="J225" t="s">
        <v>20</v>
      </c>
      <c r="K225" t="s">
        <v>32</v>
      </c>
      <c r="L225" t="str">
        <f t="shared" si="6"/>
        <v>2025-06</v>
      </c>
      <c r="M225" s="9">
        <f t="shared" si="7"/>
        <v>0.65714285714285714</v>
      </c>
    </row>
    <row r="226" spans="1:13" x14ac:dyDescent="0.3">
      <c r="A226" t="s">
        <v>423</v>
      </c>
      <c r="B226" s="3" t="s">
        <v>424</v>
      </c>
      <c r="C226" t="s">
        <v>18</v>
      </c>
      <c r="D226" t="s">
        <v>77</v>
      </c>
      <c r="E226">
        <v>1</v>
      </c>
      <c r="F226" s="5">
        <v>1200</v>
      </c>
      <c r="G226" s="9">
        <v>0.15</v>
      </c>
      <c r="H226" s="5">
        <v>1020</v>
      </c>
      <c r="I226" s="5">
        <v>720</v>
      </c>
      <c r="J226" t="s">
        <v>15</v>
      </c>
      <c r="K226" t="s">
        <v>32</v>
      </c>
      <c r="L226" t="str">
        <f t="shared" si="6"/>
        <v>2025-06</v>
      </c>
      <c r="M226" s="9">
        <f t="shared" si="7"/>
        <v>0.70588235294117652</v>
      </c>
    </row>
    <row r="227" spans="1:13" x14ac:dyDescent="0.3">
      <c r="A227" t="s">
        <v>425</v>
      </c>
      <c r="B227" s="3" t="s">
        <v>426</v>
      </c>
      <c r="C227" t="s">
        <v>13</v>
      </c>
      <c r="D227" t="s">
        <v>41</v>
      </c>
      <c r="E227">
        <v>6</v>
      </c>
      <c r="F227" s="5">
        <v>450</v>
      </c>
      <c r="G227" s="9">
        <v>0.05</v>
      </c>
      <c r="H227" s="5">
        <v>2565</v>
      </c>
      <c r="I227" s="5">
        <v>1845</v>
      </c>
      <c r="J227" t="s">
        <v>20</v>
      </c>
      <c r="K227" t="s">
        <v>32</v>
      </c>
      <c r="L227" t="str">
        <f t="shared" si="6"/>
        <v>2025-06</v>
      </c>
      <c r="M227" s="9">
        <f t="shared" si="7"/>
        <v>0.7192982456140351</v>
      </c>
    </row>
    <row r="228" spans="1:13" x14ac:dyDescent="0.3">
      <c r="A228" t="s">
        <v>427</v>
      </c>
      <c r="B228" s="3" t="s">
        <v>426</v>
      </c>
      <c r="C228" t="s">
        <v>18</v>
      </c>
      <c r="D228" t="s">
        <v>128</v>
      </c>
      <c r="E228">
        <v>1</v>
      </c>
      <c r="F228" s="5">
        <v>350</v>
      </c>
      <c r="G228" s="9">
        <v>0.2</v>
      </c>
      <c r="H228" s="5">
        <v>280</v>
      </c>
      <c r="I228" s="5">
        <v>190</v>
      </c>
      <c r="J228" t="s">
        <v>15</v>
      </c>
      <c r="K228" t="s">
        <v>32</v>
      </c>
      <c r="L228" t="str">
        <f t="shared" si="6"/>
        <v>2025-06</v>
      </c>
      <c r="M228" s="9">
        <f t="shared" si="7"/>
        <v>0.6785714285714286</v>
      </c>
    </row>
    <row r="229" spans="1:13" x14ac:dyDescent="0.3">
      <c r="A229" t="s">
        <v>428</v>
      </c>
      <c r="B229" s="3" t="s">
        <v>429</v>
      </c>
      <c r="C229" t="s">
        <v>13</v>
      </c>
      <c r="D229" t="s">
        <v>51</v>
      </c>
      <c r="E229">
        <v>7</v>
      </c>
      <c r="F229" s="5">
        <v>250</v>
      </c>
      <c r="G229" s="9">
        <v>0.05</v>
      </c>
      <c r="H229" s="5">
        <v>1662.5</v>
      </c>
      <c r="I229" s="5">
        <v>1172.5</v>
      </c>
      <c r="J229" t="s">
        <v>15</v>
      </c>
      <c r="K229" t="s">
        <v>32</v>
      </c>
      <c r="L229" t="str">
        <f t="shared" si="6"/>
        <v>2025-06</v>
      </c>
      <c r="M229" s="9">
        <f t="shared" si="7"/>
        <v>0.70526315789473681</v>
      </c>
    </row>
    <row r="230" spans="1:13" x14ac:dyDescent="0.3">
      <c r="A230" t="s">
        <v>430</v>
      </c>
      <c r="B230" s="3" t="s">
        <v>431</v>
      </c>
      <c r="C230" t="s">
        <v>23</v>
      </c>
      <c r="D230" t="s">
        <v>43</v>
      </c>
      <c r="E230">
        <v>4</v>
      </c>
      <c r="F230" s="5">
        <v>20</v>
      </c>
      <c r="G230" s="9">
        <v>0</v>
      </c>
      <c r="H230" s="5">
        <v>80</v>
      </c>
      <c r="I230" s="5">
        <v>52</v>
      </c>
      <c r="J230" t="s">
        <v>28</v>
      </c>
      <c r="K230" t="s">
        <v>16</v>
      </c>
      <c r="L230" t="str">
        <f t="shared" si="6"/>
        <v>2025-06</v>
      </c>
      <c r="M230" s="9">
        <f t="shared" si="7"/>
        <v>0.65</v>
      </c>
    </row>
    <row r="231" spans="1:13" x14ac:dyDescent="0.3">
      <c r="A231" t="s">
        <v>432</v>
      </c>
      <c r="B231" s="3" t="s">
        <v>433</v>
      </c>
      <c r="C231" t="s">
        <v>23</v>
      </c>
      <c r="D231" t="s">
        <v>43</v>
      </c>
      <c r="E231">
        <v>6</v>
      </c>
      <c r="F231" s="5">
        <v>20</v>
      </c>
      <c r="G231" s="9">
        <v>0.1</v>
      </c>
      <c r="H231" s="5">
        <v>108</v>
      </c>
      <c r="I231" s="5">
        <v>66</v>
      </c>
      <c r="J231" t="s">
        <v>44</v>
      </c>
      <c r="K231" t="s">
        <v>29</v>
      </c>
      <c r="L231" t="str">
        <f t="shared" si="6"/>
        <v>2025-06</v>
      </c>
      <c r="M231" s="9">
        <f t="shared" si="7"/>
        <v>0.61111111111111116</v>
      </c>
    </row>
    <row r="232" spans="1:13" x14ac:dyDescent="0.3">
      <c r="A232" t="s">
        <v>434</v>
      </c>
      <c r="B232" s="3" t="s">
        <v>433</v>
      </c>
      <c r="C232" t="s">
        <v>13</v>
      </c>
      <c r="D232" t="s">
        <v>41</v>
      </c>
      <c r="E232">
        <v>2</v>
      </c>
      <c r="F232" s="5">
        <v>450</v>
      </c>
      <c r="G232" s="9">
        <v>0</v>
      </c>
      <c r="H232" s="5">
        <v>900</v>
      </c>
      <c r="I232" s="5">
        <v>660</v>
      </c>
      <c r="J232" t="s">
        <v>15</v>
      </c>
      <c r="K232" t="s">
        <v>16</v>
      </c>
      <c r="L232" t="str">
        <f t="shared" si="6"/>
        <v>2025-06</v>
      </c>
      <c r="M232" s="9">
        <f t="shared" si="7"/>
        <v>0.73333333333333328</v>
      </c>
    </row>
    <row r="233" spans="1:13" x14ac:dyDescent="0.3">
      <c r="A233" t="s">
        <v>435</v>
      </c>
      <c r="B233" s="3" t="s">
        <v>436</v>
      </c>
      <c r="C233" t="s">
        <v>23</v>
      </c>
      <c r="D233" t="s">
        <v>24</v>
      </c>
      <c r="E233">
        <v>3</v>
      </c>
      <c r="F233" s="5">
        <v>10</v>
      </c>
      <c r="G233" s="9">
        <v>0.2</v>
      </c>
      <c r="H233" s="5">
        <v>24</v>
      </c>
      <c r="I233" s="5">
        <v>12</v>
      </c>
      <c r="J233" t="s">
        <v>44</v>
      </c>
      <c r="K233" t="s">
        <v>16</v>
      </c>
      <c r="L233" t="str">
        <f t="shared" si="6"/>
        <v>2025-06</v>
      </c>
      <c r="M233" s="9">
        <f t="shared" si="7"/>
        <v>0.5</v>
      </c>
    </row>
    <row r="234" spans="1:13" x14ac:dyDescent="0.3">
      <c r="A234" t="s">
        <v>437</v>
      </c>
      <c r="B234" s="3" t="s">
        <v>438</v>
      </c>
      <c r="C234" t="s">
        <v>23</v>
      </c>
      <c r="D234" t="s">
        <v>58</v>
      </c>
      <c r="E234">
        <v>2</v>
      </c>
      <c r="F234" s="5">
        <v>8</v>
      </c>
      <c r="G234" s="9">
        <v>0</v>
      </c>
      <c r="H234" s="5">
        <v>16</v>
      </c>
      <c r="I234" s="5">
        <v>10</v>
      </c>
      <c r="J234" t="s">
        <v>20</v>
      </c>
      <c r="K234" t="s">
        <v>16</v>
      </c>
      <c r="L234" t="str">
        <f t="shared" si="6"/>
        <v>2025-06</v>
      </c>
      <c r="M234" s="9">
        <f t="shared" si="7"/>
        <v>0.625</v>
      </c>
    </row>
    <row r="235" spans="1:13" x14ac:dyDescent="0.3">
      <c r="A235" t="s">
        <v>439</v>
      </c>
      <c r="B235" s="3" t="s">
        <v>438</v>
      </c>
      <c r="C235" t="s">
        <v>13</v>
      </c>
      <c r="D235" t="s">
        <v>38</v>
      </c>
      <c r="E235">
        <v>3</v>
      </c>
      <c r="F235" s="5">
        <v>150</v>
      </c>
      <c r="G235" s="9">
        <v>0</v>
      </c>
      <c r="H235" s="5">
        <v>450</v>
      </c>
      <c r="I235" s="5">
        <v>330</v>
      </c>
      <c r="J235" t="s">
        <v>44</v>
      </c>
      <c r="K235" t="s">
        <v>16</v>
      </c>
      <c r="L235" t="str">
        <f t="shared" si="6"/>
        <v>2025-06</v>
      </c>
      <c r="M235" s="9">
        <f t="shared" si="7"/>
        <v>0.73333333333333328</v>
      </c>
    </row>
    <row r="236" spans="1:13" x14ac:dyDescent="0.3">
      <c r="A236" t="s">
        <v>440</v>
      </c>
      <c r="B236" s="3" t="s">
        <v>441</v>
      </c>
      <c r="C236" t="s">
        <v>13</v>
      </c>
      <c r="D236" t="s">
        <v>51</v>
      </c>
      <c r="E236">
        <v>7</v>
      </c>
      <c r="F236" s="5">
        <v>250</v>
      </c>
      <c r="G236" s="9">
        <v>0</v>
      </c>
      <c r="H236" s="5">
        <v>1750</v>
      </c>
      <c r="I236" s="5">
        <v>1260</v>
      </c>
      <c r="J236" t="s">
        <v>28</v>
      </c>
      <c r="K236" t="s">
        <v>29</v>
      </c>
      <c r="L236" t="str">
        <f t="shared" si="6"/>
        <v>2025-06</v>
      </c>
      <c r="M236" s="9">
        <f t="shared" si="7"/>
        <v>0.72</v>
      </c>
    </row>
    <row r="237" spans="1:13" x14ac:dyDescent="0.3">
      <c r="A237" t="s">
        <v>442</v>
      </c>
      <c r="B237" s="3" t="s">
        <v>443</v>
      </c>
      <c r="C237" t="s">
        <v>23</v>
      </c>
      <c r="D237" t="s">
        <v>43</v>
      </c>
      <c r="E237">
        <v>5</v>
      </c>
      <c r="F237" s="5">
        <v>20</v>
      </c>
      <c r="G237" s="9">
        <v>0</v>
      </c>
      <c r="H237" s="5">
        <v>100</v>
      </c>
      <c r="I237" s="5">
        <v>65</v>
      </c>
      <c r="J237" t="s">
        <v>44</v>
      </c>
      <c r="K237" t="s">
        <v>32</v>
      </c>
      <c r="L237" t="str">
        <f t="shared" si="6"/>
        <v>2025-06</v>
      </c>
      <c r="M237" s="9">
        <f t="shared" si="7"/>
        <v>0.65</v>
      </c>
    </row>
    <row r="238" spans="1:13" x14ac:dyDescent="0.3">
      <c r="A238" t="s">
        <v>444</v>
      </c>
      <c r="B238" s="3" t="s">
        <v>445</v>
      </c>
      <c r="C238" t="s">
        <v>18</v>
      </c>
      <c r="D238" t="s">
        <v>77</v>
      </c>
      <c r="E238">
        <v>3</v>
      </c>
      <c r="F238" s="5">
        <v>1200</v>
      </c>
      <c r="G238" s="9">
        <v>0.05</v>
      </c>
      <c r="H238" s="5">
        <v>3420</v>
      </c>
      <c r="I238" s="5">
        <v>2520</v>
      </c>
      <c r="J238" t="s">
        <v>44</v>
      </c>
      <c r="K238" t="s">
        <v>29</v>
      </c>
      <c r="L238" t="str">
        <f t="shared" si="6"/>
        <v>2025-06</v>
      </c>
      <c r="M238" s="9">
        <f t="shared" si="7"/>
        <v>0.73684210526315785</v>
      </c>
    </row>
    <row r="239" spans="1:13" x14ac:dyDescent="0.3">
      <c r="A239" t="s">
        <v>446</v>
      </c>
      <c r="B239" s="3" t="s">
        <v>445</v>
      </c>
      <c r="C239" t="s">
        <v>13</v>
      </c>
      <c r="D239" t="s">
        <v>41</v>
      </c>
      <c r="E239">
        <v>2</v>
      </c>
      <c r="F239" s="5">
        <v>450</v>
      </c>
      <c r="G239" s="9">
        <v>0.1</v>
      </c>
      <c r="H239" s="5">
        <v>810</v>
      </c>
      <c r="I239" s="5">
        <v>570</v>
      </c>
      <c r="J239" t="s">
        <v>20</v>
      </c>
      <c r="K239" t="s">
        <v>32</v>
      </c>
      <c r="L239" t="str">
        <f t="shared" si="6"/>
        <v>2025-06</v>
      </c>
      <c r="M239" s="9">
        <f t="shared" si="7"/>
        <v>0.70370370370370372</v>
      </c>
    </row>
    <row r="240" spans="1:13" x14ac:dyDescent="0.3">
      <c r="A240" t="s">
        <v>447</v>
      </c>
      <c r="B240" s="3" t="s">
        <v>448</v>
      </c>
      <c r="C240" t="s">
        <v>18</v>
      </c>
      <c r="D240" t="s">
        <v>19</v>
      </c>
      <c r="E240">
        <v>3</v>
      </c>
      <c r="F240" s="5">
        <v>40</v>
      </c>
      <c r="G240" s="9">
        <v>0.05</v>
      </c>
      <c r="H240" s="5">
        <v>114</v>
      </c>
      <c r="I240" s="5">
        <v>69</v>
      </c>
      <c r="J240" t="s">
        <v>20</v>
      </c>
      <c r="K240" t="s">
        <v>29</v>
      </c>
      <c r="L240" t="str">
        <f t="shared" si="6"/>
        <v>2025-06</v>
      </c>
      <c r="M240" s="9">
        <f t="shared" si="7"/>
        <v>0.60526315789473684</v>
      </c>
    </row>
    <row r="241" spans="1:13" x14ac:dyDescent="0.3">
      <c r="A241" t="s">
        <v>449</v>
      </c>
      <c r="B241" s="3" t="s">
        <v>450</v>
      </c>
      <c r="C241" t="s">
        <v>18</v>
      </c>
      <c r="D241" t="s">
        <v>128</v>
      </c>
      <c r="E241">
        <v>7</v>
      </c>
      <c r="F241" s="5">
        <v>350</v>
      </c>
      <c r="G241" s="9">
        <v>0.05</v>
      </c>
      <c r="H241" s="5">
        <v>2327.5</v>
      </c>
      <c r="I241" s="5">
        <v>1697.5</v>
      </c>
      <c r="J241" t="s">
        <v>44</v>
      </c>
      <c r="K241" t="s">
        <v>29</v>
      </c>
      <c r="L241" t="str">
        <f t="shared" si="6"/>
        <v>2025-06</v>
      </c>
      <c r="M241" s="9">
        <f t="shared" si="7"/>
        <v>0.72932330827067671</v>
      </c>
    </row>
    <row r="242" spans="1:13" x14ac:dyDescent="0.3">
      <c r="A242" t="s">
        <v>451</v>
      </c>
      <c r="B242" s="3" t="s">
        <v>452</v>
      </c>
      <c r="C242" t="s">
        <v>13</v>
      </c>
      <c r="D242" t="s">
        <v>14</v>
      </c>
      <c r="E242">
        <v>9</v>
      </c>
      <c r="F242" s="5">
        <v>110</v>
      </c>
      <c r="G242" s="9">
        <v>0</v>
      </c>
      <c r="H242" s="5">
        <v>990</v>
      </c>
      <c r="I242" s="5">
        <v>720</v>
      </c>
      <c r="J242" t="s">
        <v>28</v>
      </c>
      <c r="K242" t="s">
        <v>29</v>
      </c>
      <c r="L242" t="str">
        <f t="shared" si="6"/>
        <v>2025-06</v>
      </c>
      <c r="M242" s="9">
        <f t="shared" si="7"/>
        <v>0.72727272727272729</v>
      </c>
    </row>
    <row r="243" spans="1:13" x14ac:dyDescent="0.3">
      <c r="A243" t="s">
        <v>453</v>
      </c>
      <c r="B243" s="3" t="s">
        <v>452</v>
      </c>
      <c r="C243" t="s">
        <v>13</v>
      </c>
      <c r="D243" t="s">
        <v>51</v>
      </c>
      <c r="E243">
        <v>4</v>
      </c>
      <c r="F243" s="5">
        <v>250</v>
      </c>
      <c r="G243" s="9">
        <v>0.05</v>
      </c>
      <c r="H243" s="5">
        <v>950</v>
      </c>
      <c r="I243" s="5">
        <v>670</v>
      </c>
      <c r="J243" t="s">
        <v>15</v>
      </c>
      <c r="K243" t="s">
        <v>16</v>
      </c>
      <c r="L243" t="str">
        <f t="shared" si="6"/>
        <v>2025-06</v>
      </c>
      <c r="M243" s="9">
        <f t="shared" si="7"/>
        <v>0.70526315789473681</v>
      </c>
    </row>
    <row r="244" spans="1:13" x14ac:dyDescent="0.3">
      <c r="A244" t="s">
        <v>454</v>
      </c>
      <c r="B244" s="3" t="s">
        <v>455</v>
      </c>
      <c r="C244" t="s">
        <v>23</v>
      </c>
      <c r="D244" t="s">
        <v>24</v>
      </c>
      <c r="E244">
        <v>3</v>
      </c>
      <c r="F244" s="5">
        <v>10</v>
      </c>
      <c r="G244" s="9">
        <v>0.05</v>
      </c>
      <c r="H244" s="5">
        <v>28.5</v>
      </c>
      <c r="I244" s="5">
        <v>16.5</v>
      </c>
      <c r="J244" t="s">
        <v>44</v>
      </c>
      <c r="K244" t="s">
        <v>29</v>
      </c>
      <c r="L244" t="str">
        <f t="shared" si="6"/>
        <v>2025-06</v>
      </c>
      <c r="M244" s="9">
        <f t="shared" si="7"/>
        <v>0.57894736842105265</v>
      </c>
    </row>
    <row r="245" spans="1:13" x14ac:dyDescent="0.3">
      <c r="A245" t="s">
        <v>456</v>
      </c>
      <c r="B245" s="3" t="s">
        <v>457</v>
      </c>
      <c r="C245" t="s">
        <v>18</v>
      </c>
      <c r="D245" t="s">
        <v>19</v>
      </c>
      <c r="E245">
        <v>7</v>
      </c>
      <c r="F245" s="5">
        <v>40</v>
      </c>
      <c r="G245" s="9">
        <v>0</v>
      </c>
      <c r="H245" s="5">
        <v>280</v>
      </c>
      <c r="I245" s="5">
        <v>175</v>
      </c>
      <c r="J245" t="s">
        <v>15</v>
      </c>
      <c r="K245" t="s">
        <v>16</v>
      </c>
      <c r="L245" t="str">
        <f t="shared" si="6"/>
        <v>2025-06</v>
      </c>
      <c r="M245" s="9">
        <f t="shared" si="7"/>
        <v>0.625</v>
      </c>
    </row>
    <row r="246" spans="1:13" x14ac:dyDescent="0.3">
      <c r="A246" t="s">
        <v>458</v>
      </c>
      <c r="B246" s="3" t="s">
        <v>457</v>
      </c>
      <c r="C246" t="s">
        <v>18</v>
      </c>
      <c r="D246" t="s">
        <v>61</v>
      </c>
      <c r="E246">
        <v>9</v>
      </c>
      <c r="F246" s="5">
        <v>25</v>
      </c>
      <c r="G246" s="9">
        <v>0</v>
      </c>
      <c r="H246" s="5">
        <v>225</v>
      </c>
      <c r="I246" s="5">
        <v>135</v>
      </c>
      <c r="J246" t="s">
        <v>15</v>
      </c>
      <c r="K246" t="s">
        <v>29</v>
      </c>
      <c r="L246" t="str">
        <f t="shared" si="6"/>
        <v>2025-06</v>
      </c>
      <c r="M246" s="9">
        <f t="shared" si="7"/>
        <v>0.6</v>
      </c>
    </row>
    <row r="247" spans="1:13" x14ac:dyDescent="0.3">
      <c r="A247" t="s">
        <v>459</v>
      </c>
      <c r="B247" s="3" t="s">
        <v>460</v>
      </c>
      <c r="C247" t="s">
        <v>23</v>
      </c>
      <c r="D247" t="s">
        <v>43</v>
      </c>
      <c r="E247">
        <v>9</v>
      </c>
      <c r="F247" s="5">
        <v>20</v>
      </c>
      <c r="G247" s="9">
        <v>0.05</v>
      </c>
      <c r="H247" s="5">
        <v>171</v>
      </c>
      <c r="I247" s="5">
        <v>108</v>
      </c>
      <c r="J247" t="s">
        <v>44</v>
      </c>
      <c r="K247" t="s">
        <v>29</v>
      </c>
      <c r="L247" t="str">
        <f t="shared" si="6"/>
        <v>2025-06</v>
      </c>
      <c r="M247" s="9">
        <f t="shared" si="7"/>
        <v>0.63157894736842102</v>
      </c>
    </row>
    <row r="248" spans="1:13" x14ac:dyDescent="0.3">
      <c r="A248" t="s">
        <v>461</v>
      </c>
      <c r="B248" s="3" t="s">
        <v>462</v>
      </c>
      <c r="C248" t="s">
        <v>23</v>
      </c>
      <c r="D248" t="s">
        <v>43</v>
      </c>
      <c r="E248">
        <v>8</v>
      </c>
      <c r="F248" s="5">
        <v>20</v>
      </c>
      <c r="G248" s="9">
        <v>0.05</v>
      </c>
      <c r="H248" s="5">
        <v>152</v>
      </c>
      <c r="I248" s="5">
        <v>96</v>
      </c>
      <c r="J248" t="s">
        <v>28</v>
      </c>
      <c r="K248" t="s">
        <v>16</v>
      </c>
      <c r="L248" t="str">
        <f t="shared" si="6"/>
        <v>2025-06</v>
      </c>
      <c r="M248" s="9">
        <f t="shared" si="7"/>
        <v>0.63157894736842102</v>
      </c>
    </row>
    <row r="249" spans="1:13" x14ac:dyDescent="0.3">
      <c r="A249" t="s">
        <v>463</v>
      </c>
      <c r="B249" s="3" t="s">
        <v>464</v>
      </c>
      <c r="C249" t="s">
        <v>18</v>
      </c>
      <c r="D249" t="s">
        <v>61</v>
      </c>
      <c r="E249">
        <v>2</v>
      </c>
      <c r="F249" s="5">
        <v>25</v>
      </c>
      <c r="G249" s="9">
        <v>0</v>
      </c>
      <c r="H249" s="5">
        <v>50</v>
      </c>
      <c r="I249" s="5">
        <v>30</v>
      </c>
      <c r="J249" t="s">
        <v>15</v>
      </c>
      <c r="K249" t="s">
        <v>16</v>
      </c>
      <c r="L249" t="str">
        <f t="shared" si="6"/>
        <v>2025-06</v>
      </c>
      <c r="M249" s="9">
        <f t="shared" si="7"/>
        <v>0.6</v>
      </c>
    </row>
    <row r="250" spans="1:13" x14ac:dyDescent="0.3">
      <c r="A250" t="s">
        <v>465</v>
      </c>
      <c r="B250" s="3" t="s">
        <v>464</v>
      </c>
      <c r="C250" t="s">
        <v>13</v>
      </c>
      <c r="D250" t="s">
        <v>38</v>
      </c>
      <c r="E250">
        <v>6</v>
      </c>
      <c r="F250" s="5">
        <v>150</v>
      </c>
      <c r="G250" s="9">
        <v>0</v>
      </c>
      <c r="H250" s="5">
        <v>900</v>
      </c>
      <c r="I250" s="5">
        <v>660</v>
      </c>
      <c r="J250" t="s">
        <v>15</v>
      </c>
      <c r="K250" t="s">
        <v>16</v>
      </c>
      <c r="L250" t="str">
        <f t="shared" si="6"/>
        <v>2025-06</v>
      </c>
      <c r="M250" s="9">
        <f t="shared" si="7"/>
        <v>0.73333333333333328</v>
      </c>
    </row>
    <row r="251" spans="1:13" x14ac:dyDescent="0.3">
      <c r="A251" t="s">
        <v>466</v>
      </c>
      <c r="B251" s="3" t="s">
        <v>467</v>
      </c>
      <c r="C251" t="s">
        <v>13</v>
      </c>
      <c r="D251" t="s">
        <v>67</v>
      </c>
      <c r="E251">
        <v>4</v>
      </c>
      <c r="F251" s="5">
        <v>35</v>
      </c>
      <c r="G251" s="9">
        <v>0.2</v>
      </c>
      <c r="H251" s="5">
        <v>112</v>
      </c>
      <c r="I251" s="5">
        <v>64</v>
      </c>
      <c r="J251" t="s">
        <v>28</v>
      </c>
      <c r="K251" t="s">
        <v>16</v>
      </c>
      <c r="L251" t="str">
        <f t="shared" si="6"/>
        <v>2025-07</v>
      </c>
      <c r="M251" s="9">
        <f t="shared" si="7"/>
        <v>0.5714285714285714</v>
      </c>
    </row>
    <row r="252" spans="1:13" x14ac:dyDescent="0.3">
      <c r="A252" t="s">
        <v>468</v>
      </c>
      <c r="B252" s="3" t="s">
        <v>469</v>
      </c>
      <c r="C252" t="s">
        <v>23</v>
      </c>
      <c r="D252" t="s">
        <v>24</v>
      </c>
      <c r="E252">
        <v>9</v>
      </c>
      <c r="F252" s="5">
        <v>10</v>
      </c>
      <c r="G252" s="9">
        <v>0.05</v>
      </c>
      <c r="H252" s="5">
        <v>85.5</v>
      </c>
      <c r="I252" s="5">
        <v>49.5</v>
      </c>
      <c r="J252" t="s">
        <v>15</v>
      </c>
      <c r="K252" t="s">
        <v>29</v>
      </c>
      <c r="L252" t="str">
        <f t="shared" si="6"/>
        <v>2025-07</v>
      </c>
      <c r="M252" s="9">
        <f t="shared" si="7"/>
        <v>0.57894736842105265</v>
      </c>
    </row>
    <row r="253" spans="1:13" x14ac:dyDescent="0.3">
      <c r="A253" t="s">
        <v>470</v>
      </c>
      <c r="B253" s="3" t="s">
        <v>471</v>
      </c>
      <c r="C253" t="s">
        <v>18</v>
      </c>
      <c r="D253" t="s">
        <v>128</v>
      </c>
      <c r="E253">
        <v>7</v>
      </c>
      <c r="F253" s="5">
        <v>350</v>
      </c>
      <c r="G253" s="9">
        <v>0</v>
      </c>
      <c r="H253" s="5">
        <v>2450</v>
      </c>
      <c r="I253" s="5">
        <v>1820</v>
      </c>
      <c r="J253" t="s">
        <v>44</v>
      </c>
      <c r="K253" t="s">
        <v>29</v>
      </c>
      <c r="L253" t="str">
        <f t="shared" si="6"/>
        <v>2025-07</v>
      </c>
      <c r="M253" s="9">
        <f t="shared" si="7"/>
        <v>0.74285714285714288</v>
      </c>
    </row>
    <row r="254" spans="1:13" x14ac:dyDescent="0.3">
      <c r="A254" t="s">
        <v>472</v>
      </c>
      <c r="B254" s="3" t="s">
        <v>471</v>
      </c>
      <c r="C254" t="s">
        <v>18</v>
      </c>
      <c r="D254" t="s">
        <v>61</v>
      </c>
      <c r="E254">
        <v>5</v>
      </c>
      <c r="F254" s="5">
        <v>25</v>
      </c>
      <c r="G254" s="9">
        <v>0</v>
      </c>
      <c r="H254" s="5">
        <v>125</v>
      </c>
      <c r="I254" s="5">
        <v>75</v>
      </c>
      <c r="J254" t="s">
        <v>20</v>
      </c>
      <c r="K254" t="s">
        <v>29</v>
      </c>
      <c r="L254" t="str">
        <f t="shared" si="6"/>
        <v>2025-07</v>
      </c>
      <c r="M254" s="9">
        <f t="shared" si="7"/>
        <v>0.6</v>
      </c>
    </row>
    <row r="255" spans="1:13" x14ac:dyDescent="0.3">
      <c r="A255" t="s">
        <v>473</v>
      </c>
      <c r="B255" s="3" t="s">
        <v>474</v>
      </c>
      <c r="C255" t="s">
        <v>23</v>
      </c>
      <c r="D255" t="s">
        <v>24</v>
      </c>
      <c r="E255">
        <v>1</v>
      </c>
      <c r="F255" s="5">
        <v>10</v>
      </c>
      <c r="G255" s="9">
        <v>0.1</v>
      </c>
      <c r="H255" s="5">
        <v>9</v>
      </c>
      <c r="I255" s="5">
        <v>5</v>
      </c>
      <c r="J255" t="s">
        <v>28</v>
      </c>
      <c r="K255" t="s">
        <v>29</v>
      </c>
      <c r="L255" t="str">
        <f t="shared" si="6"/>
        <v>2025-07</v>
      </c>
      <c r="M255" s="9">
        <f t="shared" si="7"/>
        <v>0.55555555555555558</v>
      </c>
    </row>
    <row r="256" spans="1:13" x14ac:dyDescent="0.3">
      <c r="A256" t="s">
        <v>475</v>
      </c>
      <c r="B256" s="3" t="s">
        <v>476</v>
      </c>
      <c r="C256" t="s">
        <v>13</v>
      </c>
      <c r="D256" t="s">
        <v>51</v>
      </c>
      <c r="E256">
        <v>8</v>
      </c>
      <c r="F256" s="5">
        <v>250</v>
      </c>
      <c r="G256" s="9">
        <v>0.15</v>
      </c>
      <c r="H256" s="5">
        <v>1700</v>
      </c>
      <c r="I256" s="5">
        <v>1140</v>
      </c>
      <c r="J256" t="s">
        <v>20</v>
      </c>
      <c r="K256" t="s">
        <v>16</v>
      </c>
      <c r="L256" t="str">
        <f t="shared" si="6"/>
        <v>2025-07</v>
      </c>
      <c r="M256" s="9">
        <f t="shared" si="7"/>
        <v>0.6705882352941176</v>
      </c>
    </row>
    <row r="257" spans="1:13" x14ac:dyDescent="0.3">
      <c r="A257" t="s">
        <v>477</v>
      </c>
      <c r="B257" s="3" t="s">
        <v>478</v>
      </c>
      <c r="C257" t="s">
        <v>23</v>
      </c>
      <c r="D257" t="s">
        <v>43</v>
      </c>
      <c r="E257">
        <v>1</v>
      </c>
      <c r="F257" s="5">
        <v>20</v>
      </c>
      <c r="G257" s="9">
        <v>0.05</v>
      </c>
      <c r="H257" s="5">
        <v>19</v>
      </c>
      <c r="I257" s="5">
        <v>12</v>
      </c>
      <c r="J257" t="s">
        <v>28</v>
      </c>
      <c r="K257" t="s">
        <v>32</v>
      </c>
      <c r="L257" t="str">
        <f t="shared" si="6"/>
        <v>2025-07</v>
      </c>
      <c r="M257" s="9">
        <f t="shared" si="7"/>
        <v>0.63157894736842102</v>
      </c>
    </row>
    <row r="258" spans="1:13" x14ac:dyDescent="0.3">
      <c r="A258" t="s">
        <v>479</v>
      </c>
      <c r="B258" s="3" t="s">
        <v>478</v>
      </c>
      <c r="C258" t="s">
        <v>23</v>
      </c>
      <c r="D258" t="s">
        <v>35</v>
      </c>
      <c r="E258">
        <v>2</v>
      </c>
      <c r="F258" s="5">
        <v>15</v>
      </c>
      <c r="G258" s="9">
        <v>0.2</v>
      </c>
      <c r="H258" s="5">
        <v>24</v>
      </c>
      <c r="I258" s="5">
        <v>14</v>
      </c>
      <c r="J258" t="s">
        <v>15</v>
      </c>
      <c r="K258" t="s">
        <v>32</v>
      </c>
      <c r="L258" t="str">
        <f t="shared" si="6"/>
        <v>2025-07</v>
      </c>
      <c r="M258" s="9">
        <f t="shared" si="7"/>
        <v>0.58333333333333337</v>
      </c>
    </row>
    <row r="259" spans="1:13" x14ac:dyDescent="0.3">
      <c r="A259" t="s">
        <v>480</v>
      </c>
      <c r="B259" s="3" t="s">
        <v>481</v>
      </c>
      <c r="C259" t="s">
        <v>13</v>
      </c>
      <c r="D259" t="s">
        <v>14</v>
      </c>
      <c r="E259">
        <v>9</v>
      </c>
      <c r="F259" s="5">
        <v>110</v>
      </c>
      <c r="G259" s="9">
        <v>0</v>
      </c>
      <c r="H259" s="5">
        <v>990</v>
      </c>
      <c r="I259" s="5">
        <v>720</v>
      </c>
      <c r="J259" t="s">
        <v>15</v>
      </c>
      <c r="K259" t="s">
        <v>16</v>
      </c>
      <c r="L259" t="str">
        <f t="shared" ref="L259:L322" si="8">TEXT(B259, "YYYY-MM")</f>
        <v>2025-07</v>
      </c>
      <c r="M259" s="9">
        <f t="shared" ref="M259:M322" si="9">I259/H259</f>
        <v>0.72727272727272729</v>
      </c>
    </row>
    <row r="260" spans="1:13" x14ac:dyDescent="0.3">
      <c r="A260" t="s">
        <v>482</v>
      </c>
      <c r="B260" s="3" t="s">
        <v>483</v>
      </c>
      <c r="C260" t="s">
        <v>23</v>
      </c>
      <c r="D260" t="s">
        <v>43</v>
      </c>
      <c r="E260">
        <v>6</v>
      </c>
      <c r="F260" s="5">
        <v>20</v>
      </c>
      <c r="G260" s="9">
        <v>0</v>
      </c>
      <c r="H260" s="5">
        <v>120</v>
      </c>
      <c r="I260" s="5">
        <v>78</v>
      </c>
      <c r="J260" t="s">
        <v>28</v>
      </c>
      <c r="K260" t="s">
        <v>32</v>
      </c>
      <c r="L260" t="str">
        <f t="shared" si="8"/>
        <v>2025-07</v>
      </c>
      <c r="M260" s="9">
        <f t="shared" si="9"/>
        <v>0.65</v>
      </c>
    </row>
    <row r="261" spans="1:13" x14ac:dyDescent="0.3">
      <c r="A261" t="s">
        <v>484</v>
      </c>
      <c r="B261" s="3" t="s">
        <v>483</v>
      </c>
      <c r="C261" t="s">
        <v>18</v>
      </c>
      <c r="D261" t="s">
        <v>19</v>
      </c>
      <c r="E261">
        <v>1</v>
      </c>
      <c r="F261" s="5">
        <v>40</v>
      </c>
      <c r="G261" s="9">
        <v>0</v>
      </c>
      <c r="H261" s="5">
        <v>40</v>
      </c>
      <c r="I261" s="5">
        <v>25</v>
      </c>
      <c r="J261" t="s">
        <v>44</v>
      </c>
      <c r="K261" t="s">
        <v>16</v>
      </c>
      <c r="L261" t="str">
        <f t="shared" si="8"/>
        <v>2025-07</v>
      </c>
      <c r="M261" s="9">
        <f t="shared" si="9"/>
        <v>0.625</v>
      </c>
    </row>
    <row r="262" spans="1:13" x14ac:dyDescent="0.3">
      <c r="A262" t="s">
        <v>485</v>
      </c>
      <c r="B262" s="3" t="s">
        <v>486</v>
      </c>
      <c r="C262" t="s">
        <v>18</v>
      </c>
      <c r="D262" t="s">
        <v>128</v>
      </c>
      <c r="E262">
        <v>7</v>
      </c>
      <c r="F262" s="5">
        <v>350</v>
      </c>
      <c r="G262" s="9">
        <v>0.05</v>
      </c>
      <c r="H262" s="5">
        <v>2327.5</v>
      </c>
      <c r="I262" s="5">
        <v>1697.5</v>
      </c>
      <c r="J262" t="s">
        <v>44</v>
      </c>
      <c r="K262" t="s">
        <v>29</v>
      </c>
      <c r="L262" t="str">
        <f t="shared" si="8"/>
        <v>2025-07</v>
      </c>
      <c r="M262" s="9">
        <f t="shared" si="9"/>
        <v>0.72932330827067671</v>
      </c>
    </row>
    <row r="263" spans="1:13" x14ac:dyDescent="0.3">
      <c r="A263" t="s">
        <v>487</v>
      </c>
      <c r="B263" s="3" t="s">
        <v>488</v>
      </c>
      <c r="C263" t="s">
        <v>13</v>
      </c>
      <c r="D263" t="s">
        <v>51</v>
      </c>
      <c r="E263">
        <v>3</v>
      </c>
      <c r="F263" s="5">
        <v>250</v>
      </c>
      <c r="G263" s="9">
        <v>0</v>
      </c>
      <c r="H263" s="5">
        <v>750</v>
      </c>
      <c r="I263" s="5">
        <v>540</v>
      </c>
      <c r="J263" t="s">
        <v>15</v>
      </c>
      <c r="K263" t="s">
        <v>29</v>
      </c>
      <c r="L263" t="str">
        <f t="shared" si="8"/>
        <v>2025-07</v>
      </c>
      <c r="M263" s="9">
        <f t="shared" si="9"/>
        <v>0.72</v>
      </c>
    </row>
    <row r="264" spans="1:13" x14ac:dyDescent="0.3">
      <c r="A264" t="s">
        <v>489</v>
      </c>
      <c r="B264" s="3" t="s">
        <v>490</v>
      </c>
      <c r="C264" t="s">
        <v>23</v>
      </c>
      <c r="D264" t="s">
        <v>24</v>
      </c>
      <c r="E264">
        <v>2</v>
      </c>
      <c r="F264" s="5">
        <v>10</v>
      </c>
      <c r="G264" s="9">
        <v>0</v>
      </c>
      <c r="H264" s="5">
        <v>20</v>
      </c>
      <c r="I264" s="5">
        <v>12</v>
      </c>
      <c r="J264" t="s">
        <v>44</v>
      </c>
      <c r="K264" t="s">
        <v>32</v>
      </c>
      <c r="L264" t="str">
        <f t="shared" si="8"/>
        <v>2025-07</v>
      </c>
      <c r="M264" s="9">
        <f t="shared" si="9"/>
        <v>0.6</v>
      </c>
    </row>
    <row r="265" spans="1:13" x14ac:dyDescent="0.3">
      <c r="A265" t="s">
        <v>491</v>
      </c>
      <c r="B265" s="3" t="s">
        <v>490</v>
      </c>
      <c r="C265" t="s">
        <v>13</v>
      </c>
      <c r="D265" t="s">
        <v>67</v>
      </c>
      <c r="E265">
        <v>5</v>
      </c>
      <c r="F265" s="5">
        <v>35</v>
      </c>
      <c r="G265" s="9">
        <v>0.1</v>
      </c>
      <c r="H265" s="5">
        <v>157.5</v>
      </c>
      <c r="I265" s="5">
        <v>97.5</v>
      </c>
      <c r="J265" t="s">
        <v>15</v>
      </c>
      <c r="K265" t="s">
        <v>16</v>
      </c>
      <c r="L265" t="str">
        <f t="shared" si="8"/>
        <v>2025-07</v>
      </c>
      <c r="M265" s="9">
        <f t="shared" si="9"/>
        <v>0.61904761904761907</v>
      </c>
    </row>
    <row r="266" spans="1:13" x14ac:dyDescent="0.3">
      <c r="A266" t="s">
        <v>492</v>
      </c>
      <c r="B266" s="3" t="s">
        <v>493</v>
      </c>
      <c r="C266" t="s">
        <v>13</v>
      </c>
      <c r="D266" t="s">
        <v>67</v>
      </c>
      <c r="E266">
        <v>4</v>
      </c>
      <c r="F266" s="5">
        <v>35</v>
      </c>
      <c r="G266" s="9">
        <v>0.05</v>
      </c>
      <c r="H266" s="5">
        <v>133</v>
      </c>
      <c r="I266" s="5">
        <v>85</v>
      </c>
      <c r="J266" t="s">
        <v>20</v>
      </c>
      <c r="K266" t="s">
        <v>32</v>
      </c>
      <c r="L266" t="str">
        <f t="shared" si="8"/>
        <v>2025-07</v>
      </c>
      <c r="M266" s="9">
        <f t="shared" si="9"/>
        <v>0.63909774436090228</v>
      </c>
    </row>
    <row r="267" spans="1:13" x14ac:dyDescent="0.3">
      <c r="A267" t="s">
        <v>494</v>
      </c>
      <c r="B267" s="3" t="s">
        <v>495</v>
      </c>
      <c r="C267" t="s">
        <v>23</v>
      </c>
      <c r="D267" t="s">
        <v>58</v>
      </c>
      <c r="E267">
        <v>5</v>
      </c>
      <c r="F267" s="5">
        <v>8</v>
      </c>
      <c r="G267" s="9">
        <v>0</v>
      </c>
      <c r="H267" s="5">
        <v>40</v>
      </c>
      <c r="I267" s="5">
        <v>25</v>
      </c>
      <c r="J267" t="s">
        <v>15</v>
      </c>
      <c r="K267" t="s">
        <v>29</v>
      </c>
      <c r="L267" t="str">
        <f t="shared" si="8"/>
        <v>2025-07</v>
      </c>
      <c r="M267" s="9">
        <f t="shared" si="9"/>
        <v>0.625</v>
      </c>
    </row>
    <row r="268" spans="1:13" x14ac:dyDescent="0.3">
      <c r="A268" t="s">
        <v>496</v>
      </c>
      <c r="B268" s="3" t="s">
        <v>497</v>
      </c>
      <c r="C268" t="s">
        <v>23</v>
      </c>
      <c r="D268" t="s">
        <v>35</v>
      </c>
      <c r="E268">
        <v>4</v>
      </c>
      <c r="F268" s="5">
        <v>15</v>
      </c>
      <c r="G268" s="9">
        <v>0.15</v>
      </c>
      <c r="H268" s="5">
        <v>51</v>
      </c>
      <c r="I268" s="5">
        <v>31</v>
      </c>
      <c r="J268" t="s">
        <v>15</v>
      </c>
      <c r="K268" t="s">
        <v>32</v>
      </c>
      <c r="L268" t="str">
        <f t="shared" si="8"/>
        <v>2025-07</v>
      </c>
      <c r="M268" s="9">
        <f t="shared" si="9"/>
        <v>0.60784313725490191</v>
      </c>
    </row>
    <row r="269" spans="1:13" x14ac:dyDescent="0.3">
      <c r="A269" t="s">
        <v>498</v>
      </c>
      <c r="B269" s="3" t="s">
        <v>497</v>
      </c>
      <c r="C269" t="s">
        <v>13</v>
      </c>
      <c r="D269" t="s">
        <v>41</v>
      </c>
      <c r="E269">
        <v>4</v>
      </c>
      <c r="F269" s="5">
        <v>450</v>
      </c>
      <c r="G269" s="9">
        <v>0</v>
      </c>
      <c r="H269" s="5">
        <v>1800</v>
      </c>
      <c r="I269" s="5">
        <v>1320</v>
      </c>
      <c r="J269" t="s">
        <v>15</v>
      </c>
      <c r="K269" t="s">
        <v>16</v>
      </c>
      <c r="L269" t="str">
        <f t="shared" si="8"/>
        <v>2025-07</v>
      </c>
      <c r="M269" s="9">
        <f t="shared" si="9"/>
        <v>0.73333333333333328</v>
      </c>
    </row>
    <row r="270" spans="1:13" x14ac:dyDescent="0.3">
      <c r="A270" t="s">
        <v>499</v>
      </c>
      <c r="B270" s="3" t="s">
        <v>500</v>
      </c>
      <c r="C270" t="s">
        <v>23</v>
      </c>
      <c r="D270" t="s">
        <v>58</v>
      </c>
      <c r="E270">
        <v>8</v>
      </c>
      <c r="F270" s="5">
        <v>8</v>
      </c>
      <c r="G270" s="9">
        <v>0</v>
      </c>
      <c r="H270" s="5">
        <v>64</v>
      </c>
      <c r="I270" s="5">
        <v>40</v>
      </c>
      <c r="J270" t="s">
        <v>20</v>
      </c>
      <c r="K270" t="s">
        <v>29</v>
      </c>
      <c r="L270" t="str">
        <f t="shared" si="8"/>
        <v>2025-07</v>
      </c>
      <c r="M270" s="9">
        <f t="shared" si="9"/>
        <v>0.625</v>
      </c>
    </row>
    <row r="271" spans="1:13" x14ac:dyDescent="0.3">
      <c r="A271" t="s">
        <v>501</v>
      </c>
      <c r="B271" s="3" t="s">
        <v>502</v>
      </c>
      <c r="C271" t="s">
        <v>18</v>
      </c>
      <c r="D271" t="s">
        <v>128</v>
      </c>
      <c r="E271">
        <v>9</v>
      </c>
      <c r="F271" s="5">
        <v>350</v>
      </c>
      <c r="G271" s="9">
        <v>0.05</v>
      </c>
      <c r="H271" s="5">
        <v>2992.5</v>
      </c>
      <c r="I271" s="5">
        <v>2182.5</v>
      </c>
      <c r="J271" t="s">
        <v>15</v>
      </c>
      <c r="K271" t="s">
        <v>32</v>
      </c>
      <c r="L271" t="str">
        <f t="shared" si="8"/>
        <v>2025-07</v>
      </c>
      <c r="M271" s="9">
        <f t="shared" si="9"/>
        <v>0.72932330827067671</v>
      </c>
    </row>
    <row r="272" spans="1:13" x14ac:dyDescent="0.3">
      <c r="A272" t="s">
        <v>503</v>
      </c>
      <c r="B272" s="3" t="s">
        <v>502</v>
      </c>
      <c r="C272" t="s">
        <v>23</v>
      </c>
      <c r="D272" t="s">
        <v>35</v>
      </c>
      <c r="E272">
        <v>8</v>
      </c>
      <c r="F272" s="5">
        <v>15</v>
      </c>
      <c r="G272" s="9">
        <v>0.2</v>
      </c>
      <c r="H272" s="5">
        <v>96</v>
      </c>
      <c r="I272" s="5">
        <v>56</v>
      </c>
      <c r="J272" t="s">
        <v>44</v>
      </c>
      <c r="K272" t="s">
        <v>32</v>
      </c>
      <c r="L272" t="str">
        <f t="shared" si="8"/>
        <v>2025-07</v>
      </c>
      <c r="M272" s="9">
        <f t="shared" si="9"/>
        <v>0.58333333333333337</v>
      </c>
    </row>
    <row r="273" spans="1:13" x14ac:dyDescent="0.3">
      <c r="A273" t="s">
        <v>504</v>
      </c>
      <c r="B273" s="3" t="s">
        <v>505</v>
      </c>
      <c r="C273" t="s">
        <v>13</v>
      </c>
      <c r="D273" t="s">
        <v>14</v>
      </c>
      <c r="E273">
        <v>7</v>
      </c>
      <c r="F273" s="5">
        <v>110</v>
      </c>
      <c r="G273" s="9">
        <v>0.05</v>
      </c>
      <c r="H273" s="5">
        <v>731.5</v>
      </c>
      <c r="I273" s="5">
        <v>521.5</v>
      </c>
      <c r="J273" t="s">
        <v>44</v>
      </c>
      <c r="K273" t="s">
        <v>29</v>
      </c>
      <c r="L273" t="str">
        <f t="shared" si="8"/>
        <v>2025-07</v>
      </c>
      <c r="M273" s="9">
        <f t="shared" si="9"/>
        <v>0.71291866028708128</v>
      </c>
    </row>
    <row r="274" spans="1:13" x14ac:dyDescent="0.3">
      <c r="A274" t="s">
        <v>506</v>
      </c>
      <c r="B274" s="3" t="s">
        <v>507</v>
      </c>
      <c r="C274" t="s">
        <v>23</v>
      </c>
      <c r="D274" t="s">
        <v>24</v>
      </c>
      <c r="E274">
        <v>8</v>
      </c>
      <c r="F274" s="5">
        <v>10</v>
      </c>
      <c r="G274" s="9">
        <v>0</v>
      </c>
      <c r="H274" s="5">
        <v>80</v>
      </c>
      <c r="I274" s="5">
        <v>48</v>
      </c>
      <c r="J274" t="s">
        <v>28</v>
      </c>
      <c r="K274" t="s">
        <v>32</v>
      </c>
      <c r="L274" t="str">
        <f t="shared" si="8"/>
        <v>2025-07</v>
      </c>
      <c r="M274" s="9">
        <f t="shared" si="9"/>
        <v>0.6</v>
      </c>
    </row>
    <row r="275" spans="1:13" x14ac:dyDescent="0.3">
      <c r="A275" t="s">
        <v>508</v>
      </c>
      <c r="B275" s="3" t="s">
        <v>509</v>
      </c>
      <c r="C275" t="s">
        <v>13</v>
      </c>
      <c r="D275" t="s">
        <v>41</v>
      </c>
      <c r="E275">
        <v>5</v>
      </c>
      <c r="F275" s="5">
        <v>450</v>
      </c>
      <c r="G275" s="9">
        <v>0</v>
      </c>
      <c r="H275" s="5">
        <v>2250</v>
      </c>
      <c r="I275" s="5">
        <v>1650</v>
      </c>
      <c r="J275" t="s">
        <v>20</v>
      </c>
      <c r="K275" t="s">
        <v>32</v>
      </c>
      <c r="L275" t="str">
        <f t="shared" si="8"/>
        <v>2025-07</v>
      </c>
      <c r="M275" s="9">
        <f t="shared" si="9"/>
        <v>0.73333333333333328</v>
      </c>
    </row>
    <row r="276" spans="1:13" x14ac:dyDescent="0.3">
      <c r="A276" t="s">
        <v>510</v>
      </c>
      <c r="B276" s="3" t="s">
        <v>509</v>
      </c>
      <c r="C276" t="s">
        <v>23</v>
      </c>
      <c r="D276" t="s">
        <v>35</v>
      </c>
      <c r="E276">
        <v>2</v>
      </c>
      <c r="F276" s="5">
        <v>15</v>
      </c>
      <c r="G276" s="9">
        <v>0.1</v>
      </c>
      <c r="H276" s="5">
        <v>27</v>
      </c>
      <c r="I276" s="5">
        <v>17</v>
      </c>
      <c r="J276" t="s">
        <v>15</v>
      </c>
      <c r="K276" t="s">
        <v>29</v>
      </c>
      <c r="L276" t="str">
        <f t="shared" si="8"/>
        <v>2025-07</v>
      </c>
      <c r="M276" s="9">
        <f t="shared" si="9"/>
        <v>0.62962962962962965</v>
      </c>
    </row>
    <row r="277" spans="1:13" x14ac:dyDescent="0.3">
      <c r="A277" t="s">
        <v>511</v>
      </c>
      <c r="B277" s="3" t="s">
        <v>512</v>
      </c>
      <c r="C277" t="s">
        <v>18</v>
      </c>
      <c r="D277" t="s">
        <v>77</v>
      </c>
      <c r="E277">
        <v>3</v>
      </c>
      <c r="F277" s="5">
        <v>1200</v>
      </c>
      <c r="G277" s="9">
        <v>0.15</v>
      </c>
      <c r="H277" s="5">
        <v>3060</v>
      </c>
      <c r="I277" s="5">
        <v>2160</v>
      </c>
      <c r="J277" t="s">
        <v>44</v>
      </c>
      <c r="K277" t="s">
        <v>29</v>
      </c>
      <c r="L277" t="str">
        <f t="shared" si="8"/>
        <v>2025-07</v>
      </c>
      <c r="M277" s="9">
        <f t="shared" si="9"/>
        <v>0.70588235294117652</v>
      </c>
    </row>
    <row r="278" spans="1:13" x14ac:dyDescent="0.3">
      <c r="A278" t="s">
        <v>513</v>
      </c>
      <c r="B278" s="3" t="s">
        <v>514</v>
      </c>
      <c r="C278" t="s">
        <v>18</v>
      </c>
      <c r="D278" t="s">
        <v>19</v>
      </c>
      <c r="E278">
        <v>3</v>
      </c>
      <c r="F278" s="5">
        <v>40</v>
      </c>
      <c r="G278" s="9">
        <v>0.05</v>
      </c>
      <c r="H278" s="5">
        <v>114</v>
      </c>
      <c r="I278" s="5">
        <v>69</v>
      </c>
      <c r="J278" t="s">
        <v>44</v>
      </c>
      <c r="K278" t="s">
        <v>16</v>
      </c>
      <c r="L278" t="str">
        <f t="shared" si="8"/>
        <v>2025-07</v>
      </c>
      <c r="M278" s="9">
        <f t="shared" si="9"/>
        <v>0.60526315789473684</v>
      </c>
    </row>
    <row r="279" spans="1:13" x14ac:dyDescent="0.3">
      <c r="A279" t="s">
        <v>515</v>
      </c>
      <c r="B279" s="3" t="s">
        <v>516</v>
      </c>
      <c r="C279" t="s">
        <v>13</v>
      </c>
      <c r="D279" t="s">
        <v>14</v>
      </c>
      <c r="E279">
        <v>9</v>
      </c>
      <c r="F279" s="5">
        <v>110</v>
      </c>
      <c r="G279" s="9">
        <v>0</v>
      </c>
      <c r="H279" s="5">
        <v>990</v>
      </c>
      <c r="I279" s="5">
        <v>720</v>
      </c>
      <c r="J279" t="s">
        <v>28</v>
      </c>
      <c r="K279" t="s">
        <v>16</v>
      </c>
      <c r="L279" t="str">
        <f t="shared" si="8"/>
        <v>2025-07</v>
      </c>
      <c r="M279" s="9">
        <f t="shared" si="9"/>
        <v>0.72727272727272729</v>
      </c>
    </row>
    <row r="280" spans="1:13" x14ac:dyDescent="0.3">
      <c r="A280" t="s">
        <v>517</v>
      </c>
      <c r="B280" s="3" t="s">
        <v>516</v>
      </c>
      <c r="C280" t="s">
        <v>23</v>
      </c>
      <c r="D280" t="s">
        <v>58</v>
      </c>
      <c r="E280">
        <v>6</v>
      </c>
      <c r="F280" s="5">
        <v>8</v>
      </c>
      <c r="G280" s="9">
        <v>0</v>
      </c>
      <c r="H280" s="5">
        <v>48</v>
      </c>
      <c r="I280" s="5">
        <v>30</v>
      </c>
      <c r="J280" t="s">
        <v>20</v>
      </c>
      <c r="K280" t="s">
        <v>16</v>
      </c>
      <c r="L280" t="str">
        <f t="shared" si="8"/>
        <v>2025-07</v>
      </c>
      <c r="M280" s="9">
        <f t="shared" si="9"/>
        <v>0.625</v>
      </c>
    </row>
    <row r="281" spans="1:13" x14ac:dyDescent="0.3">
      <c r="A281" t="s">
        <v>518</v>
      </c>
      <c r="B281" s="3" t="s">
        <v>519</v>
      </c>
      <c r="C281" t="s">
        <v>18</v>
      </c>
      <c r="D281" t="s">
        <v>27</v>
      </c>
      <c r="E281">
        <v>4</v>
      </c>
      <c r="F281" s="5">
        <v>80</v>
      </c>
      <c r="G281" s="9">
        <v>0.1</v>
      </c>
      <c r="H281" s="5">
        <v>288</v>
      </c>
      <c r="I281" s="5">
        <v>168</v>
      </c>
      <c r="J281" t="s">
        <v>20</v>
      </c>
      <c r="K281" t="s">
        <v>16</v>
      </c>
      <c r="L281" t="str">
        <f t="shared" si="8"/>
        <v>2025-07</v>
      </c>
      <c r="M281" s="9">
        <f t="shared" si="9"/>
        <v>0.58333333333333337</v>
      </c>
    </row>
    <row r="282" spans="1:13" x14ac:dyDescent="0.3">
      <c r="A282" t="s">
        <v>520</v>
      </c>
      <c r="B282" s="3" t="s">
        <v>521</v>
      </c>
      <c r="C282" t="s">
        <v>18</v>
      </c>
      <c r="D282" t="s">
        <v>19</v>
      </c>
      <c r="E282">
        <v>1</v>
      </c>
      <c r="F282" s="5">
        <v>40</v>
      </c>
      <c r="G282" s="9">
        <v>0.05</v>
      </c>
      <c r="H282" s="5">
        <v>38</v>
      </c>
      <c r="I282" s="5">
        <v>23</v>
      </c>
      <c r="J282" t="s">
        <v>44</v>
      </c>
      <c r="K282" t="s">
        <v>16</v>
      </c>
      <c r="L282" t="str">
        <f t="shared" si="8"/>
        <v>2025-07</v>
      </c>
      <c r="M282" s="9">
        <f t="shared" si="9"/>
        <v>0.60526315789473684</v>
      </c>
    </row>
    <row r="283" spans="1:13" x14ac:dyDescent="0.3">
      <c r="A283" t="s">
        <v>522</v>
      </c>
      <c r="B283" s="3" t="s">
        <v>521</v>
      </c>
      <c r="C283" t="s">
        <v>18</v>
      </c>
      <c r="D283" t="s">
        <v>128</v>
      </c>
      <c r="E283">
        <v>1</v>
      </c>
      <c r="F283" s="5">
        <v>350</v>
      </c>
      <c r="G283" s="9">
        <v>0.1</v>
      </c>
      <c r="H283" s="5">
        <v>315</v>
      </c>
      <c r="I283" s="5">
        <v>225</v>
      </c>
      <c r="J283" t="s">
        <v>20</v>
      </c>
      <c r="K283" t="s">
        <v>16</v>
      </c>
      <c r="L283" t="str">
        <f t="shared" si="8"/>
        <v>2025-07</v>
      </c>
      <c r="M283" s="9">
        <f t="shared" si="9"/>
        <v>0.7142857142857143</v>
      </c>
    </row>
    <row r="284" spans="1:13" x14ac:dyDescent="0.3">
      <c r="A284" t="s">
        <v>523</v>
      </c>
      <c r="B284" s="3" t="s">
        <v>524</v>
      </c>
      <c r="C284" t="s">
        <v>13</v>
      </c>
      <c r="D284" t="s">
        <v>41</v>
      </c>
      <c r="E284">
        <v>3</v>
      </c>
      <c r="F284" s="5">
        <v>450</v>
      </c>
      <c r="G284" s="9">
        <v>0.05</v>
      </c>
      <c r="H284" s="5">
        <v>1282.5</v>
      </c>
      <c r="I284" s="5">
        <v>922.5</v>
      </c>
      <c r="J284" t="s">
        <v>44</v>
      </c>
      <c r="K284" t="s">
        <v>16</v>
      </c>
      <c r="L284" t="str">
        <f t="shared" si="8"/>
        <v>2025-07</v>
      </c>
      <c r="M284" s="9">
        <f t="shared" si="9"/>
        <v>0.7192982456140351</v>
      </c>
    </row>
    <row r="285" spans="1:13" x14ac:dyDescent="0.3">
      <c r="A285" t="s">
        <v>525</v>
      </c>
      <c r="B285" s="3" t="s">
        <v>526</v>
      </c>
      <c r="C285" t="s">
        <v>23</v>
      </c>
      <c r="D285" t="s">
        <v>43</v>
      </c>
      <c r="E285">
        <v>2</v>
      </c>
      <c r="F285" s="5">
        <v>20</v>
      </c>
      <c r="G285" s="9">
        <v>0</v>
      </c>
      <c r="H285" s="5">
        <v>40</v>
      </c>
      <c r="I285" s="5">
        <v>26</v>
      </c>
      <c r="J285" t="s">
        <v>28</v>
      </c>
      <c r="K285" t="s">
        <v>29</v>
      </c>
      <c r="L285" t="str">
        <f t="shared" si="8"/>
        <v>2025-07</v>
      </c>
      <c r="M285" s="9">
        <f t="shared" si="9"/>
        <v>0.65</v>
      </c>
    </row>
    <row r="286" spans="1:13" x14ac:dyDescent="0.3">
      <c r="A286" t="s">
        <v>527</v>
      </c>
      <c r="B286" s="3" t="s">
        <v>528</v>
      </c>
      <c r="C286" t="s">
        <v>18</v>
      </c>
      <c r="D286" t="s">
        <v>128</v>
      </c>
      <c r="E286">
        <v>4</v>
      </c>
      <c r="F286" s="5">
        <v>350</v>
      </c>
      <c r="G286" s="9">
        <v>0.2</v>
      </c>
      <c r="H286" s="5">
        <v>1120</v>
      </c>
      <c r="I286" s="5">
        <v>760</v>
      </c>
      <c r="J286" t="s">
        <v>20</v>
      </c>
      <c r="K286" t="s">
        <v>29</v>
      </c>
      <c r="L286" t="str">
        <f t="shared" si="8"/>
        <v>2025-07</v>
      </c>
      <c r="M286" s="9">
        <f t="shared" si="9"/>
        <v>0.6785714285714286</v>
      </c>
    </row>
    <row r="287" spans="1:13" x14ac:dyDescent="0.3">
      <c r="A287" t="s">
        <v>529</v>
      </c>
      <c r="B287" s="3" t="s">
        <v>528</v>
      </c>
      <c r="C287" t="s">
        <v>18</v>
      </c>
      <c r="D287" t="s">
        <v>61</v>
      </c>
      <c r="E287">
        <v>9</v>
      </c>
      <c r="F287" s="5">
        <v>25</v>
      </c>
      <c r="G287" s="9">
        <v>0.1</v>
      </c>
      <c r="H287" s="5">
        <v>202.5</v>
      </c>
      <c r="I287" s="5">
        <v>112.5</v>
      </c>
      <c r="J287" t="s">
        <v>15</v>
      </c>
      <c r="K287" t="s">
        <v>16</v>
      </c>
      <c r="L287" t="str">
        <f t="shared" si="8"/>
        <v>2025-07</v>
      </c>
      <c r="M287" s="9">
        <f t="shared" si="9"/>
        <v>0.55555555555555558</v>
      </c>
    </row>
    <row r="288" spans="1:13" x14ac:dyDescent="0.3">
      <c r="A288" t="s">
        <v>530</v>
      </c>
      <c r="B288" s="3" t="s">
        <v>531</v>
      </c>
      <c r="C288" t="s">
        <v>23</v>
      </c>
      <c r="D288" t="s">
        <v>58</v>
      </c>
      <c r="E288">
        <v>7</v>
      </c>
      <c r="F288" s="5">
        <v>8</v>
      </c>
      <c r="G288" s="9">
        <v>0</v>
      </c>
      <c r="H288" s="5">
        <v>56</v>
      </c>
      <c r="I288" s="5">
        <v>35</v>
      </c>
      <c r="J288" t="s">
        <v>15</v>
      </c>
      <c r="K288" t="s">
        <v>32</v>
      </c>
      <c r="L288" t="str">
        <f t="shared" si="8"/>
        <v>2025-07</v>
      </c>
      <c r="M288" s="9">
        <f t="shared" si="9"/>
        <v>0.625</v>
      </c>
    </row>
    <row r="289" spans="1:13" x14ac:dyDescent="0.3">
      <c r="A289" t="s">
        <v>532</v>
      </c>
      <c r="B289" s="3" t="s">
        <v>533</v>
      </c>
      <c r="C289" t="s">
        <v>23</v>
      </c>
      <c r="D289" t="s">
        <v>43</v>
      </c>
      <c r="E289">
        <v>1</v>
      </c>
      <c r="F289" s="5">
        <v>20</v>
      </c>
      <c r="G289" s="9">
        <v>0.1</v>
      </c>
      <c r="H289" s="5">
        <v>18</v>
      </c>
      <c r="I289" s="5">
        <v>11</v>
      </c>
      <c r="J289" t="s">
        <v>44</v>
      </c>
      <c r="K289" t="s">
        <v>29</v>
      </c>
      <c r="L289" t="str">
        <f t="shared" si="8"/>
        <v>2025-07</v>
      </c>
      <c r="M289" s="9">
        <f t="shared" si="9"/>
        <v>0.61111111111111116</v>
      </c>
    </row>
    <row r="290" spans="1:13" x14ac:dyDescent="0.3">
      <c r="A290" t="s">
        <v>534</v>
      </c>
      <c r="B290" s="3" t="s">
        <v>535</v>
      </c>
      <c r="C290" t="s">
        <v>18</v>
      </c>
      <c r="D290" t="s">
        <v>77</v>
      </c>
      <c r="E290">
        <v>5</v>
      </c>
      <c r="F290" s="5">
        <v>1200</v>
      </c>
      <c r="G290" s="9">
        <v>0.1</v>
      </c>
      <c r="H290" s="5">
        <v>5400</v>
      </c>
      <c r="I290" s="5">
        <v>3900</v>
      </c>
      <c r="J290" t="s">
        <v>20</v>
      </c>
      <c r="K290" t="s">
        <v>29</v>
      </c>
      <c r="L290" t="str">
        <f t="shared" si="8"/>
        <v>2025-07</v>
      </c>
      <c r="M290" s="9">
        <f t="shared" si="9"/>
        <v>0.72222222222222221</v>
      </c>
    </row>
    <row r="291" spans="1:13" x14ac:dyDescent="0.3">
      <c r="A291" t="s">
        <v>536</v>
      </c>
      <c r="B291" s="3" t="s">
        <v>535</v>
      </c>
      <c r="C291" t="s">
        <v>18</v>
      </c>
      <c r="D291" t="s">
        <v>77</v>
      </c>
      <c r="E291">
        <v>7</v>
      </c>
      <c r="F291" s="5">
        <v>1200</v>
      </c>
      <c r="G291" s="9">
        <v>0</v>
      </c>
      <c r="H291" s="5">
        <v>8400</v>
      </c>
      <c r="I291" s="5">
        <v>6300</v>
      </c>
      <c r="J291" t="s">
        <v>44</v>
      </c>
      <c r="K291" t="s">
        <v>16</v>
      </c>
      <c r="L291" t="str">
        <f t="shared" si="8"/>
        <v>2025-07</v>
      </c>
      <c r="M291" s="9">
        <f t="shared" si="9"/>
        <v>0.75</v>
      </c>
    </row>
    <row r="292" spans="1:13" x14ac:dyDescent="0.3">
      <c r="A292" t="s">
        <v>537</v>
      </c>
      <c r="B292" s="3" t="s">
        <v>538</v>
      </c>
      <c r="C292" t="s">
        <v>23</v>
      </c>
      <c r="D292" t="s">
        <v>35</v>
      </c>
      <c r="E292">
        <v>1</v>
      </c>
      <c r="F292" s="5">
        <v>15</v>
      </c>
      <c r="G292" s="9">
        <v>0</v>
      </c>
      <c r="H292" s="5">
        <v>15</v>
      </c>
      <c r="I292" s="5">
        <v>10</v>
      </c>
      <c r="J292" t="s">
        <v>44</v>
      </c>
      <c r="K292" t="s">
        <v>29</v>
      </c>
      <c r="L292" t="str">
        <f t="shared" si="8"/>
        <v>2025-07</v>
      </c>
      <c r="M292" s="9">
        <f t="shared" si="9"/>
        <v>0.66666666666666663</v>
      </c>
    </row>
    <row r="293" spans="1:13" x14ac:dyDescent="0.3">
      <c r="A293" t="s">
        <v>539</v>
      </c>
      <c r="B293" s="3" t="s">
        <v>540</v>
      </c>
      <c r="C293" t="s">
        <v>13</v>
      </c>
      <c r="D293" t="s">
        <v>38</v>
      </c>
      <c r="E293">
        <v>6</v>
      </c>
      <c r="F293" s="5">
        <v>150</v>
      </c>
      <c r="G293" s="9">
        <v>0</v>
      </c>
      <c r="H293" s="5">
        <v>900</v>
      </c>
      <c r="I293" s="5">
        <v>660</v>
      </c>
      <c r="J293" t="s">
        <v>28</v>
      </c>
      <c r="K293" t="s">
        <v>32</v>
      </c>
      <c r="L293" t="str">
        <f t="shared" si="8"/>
        <v>2025-08</v>
      </c>
      <c r="M293" s="9">
        <f t="shared" si="9"/>
        <v>0.73333333333333328</v>
      </c>
    </row>
    <row r="294" spans="1:13" x14ac:dyDescent="0.3">
      <c r="A294" t="s">
        <v>541</v>
      </c>
      <c r="B294" s="3" t="s">
        <v>542</v>
      </c>
      <c r="C294" t="s">
        <v>18</v>
      </c>
      <c r="D294" t="s">
        <v>77</v>
      </c>
      <c r="E294">
        <v>6</v>
      </c>
      <c r="F294" s="5">
        <v>1200</v>
      </c>
      <c r="G294" s="9">
        <v>0.1</v>
      </c>
      <c r="H294" s="5">
        <v>6480</v>
      </c>
      <c r="I294" s="5">
        <v>4680</v>
      </c>
      <c r="J294" t="s">
        <v>44</v>
      </c>
      <c r="K294" t="s">
        <v>32</v>
      </c>
      <c r="L294" t="str">
        <f t="shared" si="8"/>
        <v>2025-08</v>
      </c>
      <c r="M294" s="9">
        <f t="shared" si="9"/>
        <v>0.72222222222222221</v>
      </c>
    </row>
    <row r="295" spans="1:13" x14ac:dyDescent="0.3">
      <c r="A295" t="s">
        <v>543</v>
      </c>
      <c r="B295" s="3" t="s">
        <v>542</v>
      </c>
      <c r="C295" t="s">
        <v>23</v>
      </c>
      <c r="D295" t="s">
        <v>58</v>
      </c>
      <c r="E295">
        <v>7</v>
      </c>
      <c r="F295" s="5">
        <v>8</v>
      </c>
      <c r="G295" s="9">
        <v>0</v>
      </c>
      <c r="H295" s="5">
        <v>56</v>
      </c>
      <c r="I295" s="5">
        <v>35</v>
      </c>
      <c r="J295" t="s">
        <v>15</v>
      </c>
      <c r="K295" t="s">
        <v>29</v>
      </c>
      <c r="L295" t="str">
        <f t="shared" si="8"/>
        <v>2025-08</v>
      </c>
      <c r="M295" s="9">
        <f t="shared" si="9"/>
        <v>0.625</v>
      </c>
    </row>
    <row r="296" spans="1:13" x14ac:dyDescent="0.3">
      <c r="A296" t="s">
        <v>544</v>
      </c>
      <c r="B296" s="3" t="s">
        <v>545</v>
      </c>
      <c r="C296" t="s">
        <v>18</v>
      </c>
      <c r="D296" t="s">
        <v>61</v>
      </c>
      <c r="E296">
        <v>3</v>
      </c>
      <c r="F296" s="5">
        <v>25</v>
      </c>
      <c r="G296" s="9">
        <v>0</v>
      </c>
      <c r="H296" s="5">
        <v>75</v>
      </c>
      <c r="I296" s="5">
        <v>45</v>
      </c>
      <c r="J296" t="s">
        <v>28</v>
      </c>
      <c r="K296" t="s">
        <v>29</v>
      </c>
      <c r="L296" t="str">
        <f t="shared" si="8"/>
        <v>2025-08</v>
      </c>
      <c r="M296" s="9">
        <f t="shared" si="9"/>
        <v>0.6</v>
      </c>
    </row>
    <row r="297" spans="1:13" x14ac:dyDescent="0.3">
      <c r="A297" t="s">
        <v>546</v>
      </c>
      <c r="B297" s="3" t="s">
        <v>547</v>
      </c>
      <c r="C297" t="s">
        <v>23</v>
      </c>
      <c r="D297" t="s">
        <v>35</v>
      </c>
      <c r="E297">
        <v>6</v>
      </c>
      <c r="F297" s="5">
        <v>15</v>
      </c>
      <c r="G297" s="9">
        <v>0</v>
      </c>
      <c r="H297" s="5">
        <v>90</v>
      </c>
      <c r="I297" s="5">
        <v>60</v>
      </c>
      <c r="J297" t="s">
        <v>20</v>
      </c>
      <c r="K297" t="s">
        <v>16</v>
      </c>
      <c r="L297" t="str">
        <f t="shared" si="8"/>
        <v>2025-08</v>
      </c>
      <c r="M297" s="9">
        <f t="shared" si="9"/>
        <v>0.66666666666666663</v>
      </c>
    </row>
    <row r="298" spans="1:13" x14ac:dyDescent="0.3">
      <c r="A298" t="s">
        <v>548</v>
      </c>
      <c r="B298" s="3" t="s">
        <v>547</v>
      </c>
      <c r="C298" t="s">
        <v>23</v>
      </c>
      <c r="D298" t="s">
        <v>31</v>
      </c>
      <c r="E298">
        <v>4</v>
      </c>
      <c r="F298" s="5">
        <v>25</v>
      </c>
      <c r="G298" s="9">
        <v>0.05</v>
      </c>
      <c r="H298" s="5">
        <v>95</v>
      </c>
      <c r="I298" s="5">
        <v>63</v>
      </c>
      <c r="J298" t="s">
        <v>44</v>
      </c>
      <c r="K298" t="s">
        <v>16</v>
      </c>
      <c r="L298" t="str">
        <f t="shared" si="8"/>
        <v>2025-08</v>
      </c>
      <c r="M298" s="9">
        <f t="shared" si="9"/>
        <v>0.66315789473684206</v>
      </c>
    </row>
    <row r="299" spans="1:13" x14ac:dyDescent="0.3">
      <c r="A299" t="s">
        <v>549</v>
      </c>
      <c r="B299" s="3" t="s">
        <v>550</v>
      </c>
      <c r="C299" t="s">
        <v>13</v>
      </c>
      <c r="D299" t="s">
        <v>14</v>
      </c>
      <c r="E299">
        <v>2</v>
      </c>
      <c r="F299" s="5">
        <v>110</v>
      </c>
      <c r="G299" s="9">
        <v>0.05</v>
      </c>
      <c r="H299" s="5">
        <v>209</v>
      </c>
      <c r="I299" s="5">
        <v>149</v>
      </c>
      <c r="J299" t="s">
        <v>15</v>
      </c>
      <c r="K299" t="s">
        <v>16</v>
      </c>
      <c r="L299" t="str">
        <f t="shared" si="8"/>
        <v>2025-08</v>
      </c>
      <c r="M299" s="9">
        <f t="shared" si="9"/>
        <v>0.71291866028708128</v>
      </c>
    </row>
    <row r="300" spans="1:13" x14ac:dyDescent="0.3">
      <c r="A300" t="s">
        <v>551</v>
      </c>
      <c r="B300" s="3" t="s">
        <v>552</v>
      </c>
      <c r="C300" t="s">
        <v>23</v>
      </c>
      <c r="D300" t="s">
        <v>43</v>
      </c>
      <c r="E300">
        <v>4</v>
      </c>
      <c r="F300" s="5">
        <v>20</v>
      </c>
      <c r="G300" s="9">
        <v>0</v>
      </c>
      <c r="H300" s="5">
        <v>80</v>
      </c>
      <c r="I300" s="5">
        <v>52</v>
      </c>
      <c r="J300" t="s">
        <v>15</v>
      </c>
      <c r="K300" t="s">
        <v>29</v>
      </c>
      <c r="L300" t="str">
        <f t="shared" si="8"/>
        <v>2025-08</v>
      </c>
      <c r="M300" s="9">
        <f t="shared" si="9"/>
        <v>0.65</v>
      </c>
    </row>
    <row r="301" spans="1:13" x14ac:dyDescent="0.3">
      <c r="A301" t="s">
        <v>553</v>
      </c>
      <c r="B301" s="3" t="s">
        <v>554</v>
      </c>
      <c r="C301" t="s">
        <v>18</v>
      </c>
      <c r="D301" t="s">
        <v>61</v>
      </c>
      <c r="E301">
        <v>7</v>
      </c>
      <c r="F301" s="5">
        <v>25</v>
      </c>
      <c r="G301" s="9">
        <v>0</v>
      </c>
      <c r="H301" s="5">
        <v>175</v>
      </c>
      <c r="I301" s="5">
        <v>105</v>
      </c>
      <c r="J301" t="s">
        <v>15</v>
      </c>
      <c r="K301" t="s">
        <v>29</v>
      </c>
      <c r="L301" t="str">
        <f t="shared" si="8"/>
        <v>2025-08</v>
      </c>
      <c r="M301" s="9">
        <f t="shared" si="9"/>
        <v>0.6</v>
      </c>
    </row>
    <row r="302" spans="1:13" x14ac:dyDescent="0.3">
      <c r="A302" t="s">
        <v>555</v>
      </c>
      <c r="B302" s="3" t="s">
        <v>554</v>
      </c>
      <c r="C302" t="s">
        <v>13</v>
      </c>
      <c r="D302" t="s">
        <v>41</v>
      </c>
      <c r="E302">
        <v>2</v>
      </c>
      <c r="F302" s="5">
        <v>450</v>
      </c>
      <c r="G302" s="9">
        <v>0</v>
      </c>
      <c r="H302" s="5">
        <v>900</v>
      </c>
      <c r="I302" s="5">
        <v>660</v>
      </c>
      <c r="J302" t="s">
        <v>20</v>
      </c>
      <c r="K302" t="s">
        <v>32</v>
      </c>
      <c r="L302" t="str">
        <f t="shared" si="8"/>
        <v>2025-08</v>
      </c>
      <c r="M302" s="9">
        <f t="shared" si="9"/>
        <v>0.73333333333333328</v>
      </c>
    </row>
    <row r="303" spans="1:13" x14ac:dyDescent="0.3">
      <c r="A303" t="s">
        <v>556</v>
      </c>
      <c r="B303" s="3" t="s">
        <v>557</v>
      </c>
      <c r="C303" t="s">
        <v>18</v>
      </c>
      <c r="D303" t="s">
        <v>27</v>
      </c>
      <c r="E303">
        <v>5</v>
      </c>
      <c r="F303" s="5">
        <v>80</v>
      </c>
      <c r="G303" s="9">
        <v>0</v>
      </c>
      <c r="H303" s="5">
        <v>400</v>
      </c>
      <c r="I303" s="5">
        <v>250</v>
      </c>
      <c r="J303" t="s">
        <v>44</v>
      </c>
      <c r="K303" t="s">
        <v>16</v>
      </c>
      <c r="L303" t="str">
        <f t="shared" si="8"/>
        <v>2025-08</v>
      </c>
      <c r="M303" s="9">
        <f t="shared" si="9"/>
        <v>0.625</v>
      </c>
    </row>
    <row r="304" spans="1:13" x14ac:dyDescent="0.3">
      <c r="A304" t="s">
        <v>558</v>
      </c>
      <c r="B304" s="3" t="s">
        <v>559</v>
      </c>
      <c r="C304" t="s">
        <v>23</v>
      </c>
      <c r="D304" t="s">
        <v>43</v>
      </c>
      <c r="E304">
        <v>1</v>
      </c>
      <c r="F304" s="5">
        <v>20</v>
      </c>
      <c r="G304" s="9">
        <v>0.05</v>
      </c>
      <c r="H304" s="5">
        <v>19</v>
      </c>
      <c r="I304" s="5">
        <v>12</v>
      </c>
      <c r="J304" t="s">
        <v>28</v>
      </c>
      <c r="K304" t="s">
        <v>32</v>
      </c>
      <c r="L304" t="str">
        <f t="shared" si="8"/>
        <v>2025-08</v>
      </c>
      <c r="M304" s="9">
        <f t="shared" si="9"/>
        <v>0.63157894736842102</v>
      </c>
    </row>
    <row r="305" spans="1:13" x14ac:dyDescent="0.3">
      <c r="A305" t="s">
        <v>560</v>
      </c>
      <c r="B305" s="3" t="s">
        <v>561</v>
      </c>
      <c r="C305" t="s">
        <v>13</v>
      </c>
      <c r="D305" t="s">
        <v>67</v>
      </c>
      <c r="E305">
        <v>4</v>
      </c>
      <c r="F305" s="5">
        <v>35</v>
      </c>
      <c r="G305" s="9">
        <v>0.05</v>
      </c>
      <c r="H305" s="5">
        <v>133</v>
      </c>
      <c r="I305" s="5">
        <v>85</v>
      </c>
      <c r="J305" t="s">
        <v>28</v>
      </c>
      <c r="K305" t="s">
        <v>29</v>
      </c>
      <c r="L305" t="str">
        <f t="shared" si="8"/>
        <v>2025-08</v>
      </c>
      <c r="M305" s="9">
        <f t="shared" si="9"/>
        <v>0.63909774436090228</v>
      </c>
    </row>
    <row r="306" spans="1:13" x14ac:dyDescent="0.3">
      <c r="A306" t="s">
        <v>562</v>
      </c>
      <c r="B306" s="3" t="s">
        <v>561</v>
      </c>
      <c r="C306" t="s">
        <v>23</v>
      </c>
      <c r="D306" t="s">
        <v>31</v>
      </c>
      <c r="E306">
        <v>3</v>
      </c>
      <c r="F306" s="5">
        <v>25</v>
      </c>
      <c r="G306" s="9">
        <v>0</v>
      </c>
      <c r="H306" s="5">
        <v>75</v>
      </c>
      <c r="I306" s="5">
        <v>51</v>
      </c>
      <c r="J306" t="s">
        <v>44</v>
      </c>
      <c r="K306" t="s">
        <v>32</v>
      </c>
      <c r="L306" t="str">
        <f t="shared" si="8"/>
        <v>2025-08</v>
      </c>
      <c r="M306" s="9">
        <f t="shared" si="9"/>
        <v>0.68</v>
      </c>
    </row>
    <row r="307" spans="1:13" x14ac:dyDescent="0.3">
      <c r="A307" t="s">
        <v>563</v>
      </c>
      <c r="B307" s="3" t="s">
        <v>564</v>
      </c>
      <c r="C307" t="s">
        <v>23</v>
      </c>
      <c r="D307" t="s">
        <v>31</v>
      </c>
      <c r="E307">
        <v>7</v>
      </c>
      <c r="F307" s="5">
        <v>25</v>
      </c>
      <c r="G307" s="9">
        <v>0</v>
      </c>
      <c r="H307" s="5">
        <v>175</v>
      </c>
      <c r="I307" s="5">
        <v>119</v>
      </c>
      <c r="J307" t="s">
        <v>44</v>
      </c>
      <c r="K307" t="s">
        <v>16</v>
      </c>
      <c r="L307" t="str">
        <f t="shared" si="8"/>
        <v>2025-08</v>
      </c>
      <c r="M307" s="9">
        <f t="shared" si="9"/>
        <v>0.68</v>
      </c>
    </row>
    <row r="308" spans="1:13" x14ac:dyDescent="0.3">
      <c r="A308" t="s">
        <v>565</v>
      </c>
      <c r="B308" s="3" t="s">
        <v>566</v>
      </c>
      <c r="C308" t="s">
        <v>18</v>
      </c>
      <c r="D308" t="s">
        <v>61</v>
      </c>
      <c r="E308">
        <v>7</v>
      </c>
      <c r="F308" s="5">
        <v>25</v>
      </c>
      <c r="G308" s="9">
        <v>0</v>
      </c>
      <c r="H308" s="5">
        <v>175</v>
      </c>
      <c r="I308" s="5">
        <v>105</v>
      </c>
      <c r="J308" t="s">
        <v>44</v>
      </c>
      <c r="K308" t="s">
        <v>16</v>
      </c>
      <c r="L308" t="str">
        <f t="shared" si="8"/>
        <v>2025-08</v>
      </c>
      <c r="M308" s="9">
        <f t="shared" si="9"/>
        <v>0.6</v>
      </c>
    </row>
    <row r="309" spans="1:13" x14ac:dyDescent="0.3">
      <c r="A309" t="s">
        <v>567</v>
      </c>
      <c r="B309" s="3" t="s">
        <v>566</v>
      </c>
      <c r="C309" t="s">
        <v>18</v>
      </c>
      <c r="D309" t="s">
        <v>61</v>
      </c>
      <c r="E309">
        <v>5</v>
      </c>
      <c r="F309" s="5">
        <v>25</v>
      </c>
      <c r="G309" s="9">
        <v>0</v>
      </c>
      <c r="H309" s="5">
        <v>125</v>
      </c>
      <c r="I309" s="5">
        <v>75</v>
      </c>
      <c r="J309" t="s">
        <v>15</v>
      </c>
      <c r="K309" t="s">
        <v>16</v>
      </c>
      <c r="L309" t="str">
        <f t="shared" si="8"/>
        <v>2025-08</v>
      </c>
      <c r="M309" s="9">
        <f t="shared" si="9"/>
        <v>0.6</v>
      </c>
    </row>
    <row r="310" spans="1:13" x14ac:dyDescent="0.3">
      <c r="A310" t="s">
        <v>568</v>
      </c>
      <c r="B310" s="3" t="s">
        <v>569</v>
      </c>
      <c r="C310" t="s">
        <v>13</v>
      </c>
      <c r="D310" t="s">
        <v>51</v>
      </c>
      <c r="E310">
        <v>5</v>
      </c>
      <c r="F310" s="5">
        <v>250</v>
      </c>
      <c r="G310" s="9">
        <v>0.1</v>
      </c>
      <c r="H310" s="5">
        <v>1125</v>
      </c>
      <c r="I310" s="5">
        <v>775</v>
      </c>
      <c r="J310" t="s">
        <v>15</v>
      </c>
      <c r="K310" t="s">
        <v>29</v>
      </c>
      <c r="L310" t="str">
        <f t="shared" si="8"/>
        <v>2025-08</v>
      </c>
      <c r="M310" s="9">
        <f t="shared" si="9"/>
        <v>0.68888888888888888</v>
      </c>
    </row>
    <row r="311" spans="1:13" x14ac:dyDescent="0.3">
      <c r="A311" t="s">
        <v>570</v>
      </c>
      <c r="B311" s="3" t="s">
        <v>571</v>
      </c>
      <c r="C311" t="s">
        <v>18</v>
      </c>
      <c r="D311" t="s">
        <v>128</v>
      </c>
      <c r="E311">
        <v>2</v>
      </c>
      <c r="F311" s="5">
        <v>350</v>
      </c>
      <c r="G311" s="9">
        <v>0</v>
      </c>
      <c r="H311" s="5">
        <v>700</v>
      </c>
      <c r="I311" s="5">
        <v>520</v>
      </c>
      <c r="J311" t="s">
        <v>44</v>
      </c>
      <c r="K311" t="s">
        <v>16</v>
      </c>
      <c r="L311" t="str">
        <f t="shared" si="8"/>
        <v>2025-08</v>
      </c>
      <c r="M311" s="9">
        <f t="shared" si="9"/>
        <v>0.74285714285714288</v>
      </c>
    </row>
    <row r="312" spans="1:13" x14ac:dyDescent="0.3">
      <c r="A312" t="s">
        <v>572</v>
      </c>
      <c r="B312" s="3" t="s">
        <v>573</v>
      </c>
      <c r="C312" t="s">
        <v>13</v>
      </c>
      <c r="D312" t="s">
        <v>14</v>
      </c>
      <c r="E312">
        <v>1</v>
      </c>
      <c r="F312" s="5">
        <v>110</v>
      </c>
      <c r="G312" s="9">
        <v>0.2</v>
      </c>
      <c r="H312" s="5">
        <v>88</v>
      </c>
      <c r="I312" s="5">
        <v>58</v>
      </c>
      <c r="J312" t="s">
        <v>20</v>
      </c>
      <c r="K312" t="s">
        <v>16</v>
      </c>
      <c r="L312" t="str">
        <f t="shared" si="8"/>
        <v>2025-08</v>
      </c>
      <c r="M312" s="9">
        <f t="shared" si="9"/>
        <v>0.65909090909090906</v>
      </c>
    </row>
    <row r="313" spans="1:13" x14ac:dyDescent="0.3">
      <c r="A313" t="s">
        <v>574</v>
      </c>
      <c r="B313" s="3" t="s">
        <v>573</v>
      </c>
      <c r="C313" t="s">
        <v>23</v>
      </c>
      <c r="D313" t="s">
        <v>43</v>
      </c>
      <c r="E313">
        <v>1</v>
      </c>
      <c r="F313" s="5">
        <v>20</v>
      </c>
      <c r="G313" s="9">
        <v>0.1</v>
      </c>
      <c r="H313" s="5">
        <v>18</v>
      </c>
      <c r="I313" s="5">
        <v>11</v>
      </c>
      <c r="J313" t="s">
        <v>15</v>
      </c>
      <c r="K313" t="s">
        <v>32</v>
      </c>
      <c r="L313" t="str">
        <f t="shared" si="8"/>
        <v>2025-08</v>
      </c>
      <c r="M313" s="9">
        <f t="shared" si="9"/>
        <v>0.61111111111111116</v>
      </c>
    </row>
    <row r="314" spans="1:13" x14ac:dyDescent="0.3">
      <c r="A314" t="s">
        <v>575</v>
      </c>
      <c r="B314" s="3" t="s">
        <v>576</v>
      </c>
      <c r="C314" t="s">
        <v>13</v>
      </c>
      <c r="D314" t="s">
        <v>38</v>
      </c>
      <c r="E314">
        <v>7</v>
      </c>
      <c r="F314" s="5">
        <v>150</v>
      </c>
      <c r="G314" s="9">
        <v>0.05</v>
      </c>
      <c r="H314" s="5">
        <v>997.5</v>
      </c>
      <c r="I314" s="5">
        <v>717.5</v>
      </c>
      <c r="J314" t="s">
        <v>28</v>
      </c>
      <c r="K314" t="s">
        <v>29</v>
      </c>
      <c r="L314" t="str">
        <f t="shared" si="8"/>
        <v>2025-08</v>
      </c>
      <c r="M314" s="9">
        <f t="shared" si="9"/>
        <v>0.7192982456140351</v>
      </c>
    </row>
    <row r="315" spans="1:13" x14ac:dyDescent="0.3">
      <c r="A315" t="s">
        <v>577</v>
      </c>
      <c r="B315" s="3" t="s">
        <v>578</v>
      </c>
      <c r="C315" t="s">
        <v>13</v>
      </c>
      <c r="D315" t="s">
        <v>67</v>
      </c>
      <c r="E315">
        <v>7</v>
      </c>
      <c r="F315" s="5">
        <v>35</v>
      </c>
      <c r="G315" s="9">
        <v>0.05</v>
      </c>
      <c r="H315" s="5">
        <v>232.75</v>
      </c>
      <c r="I315" s="5">
        <v>148.75</v>
      </c>
      <c r="J315" t="s">
        <v>15</v>
      </c>
      <c r="K315" t="s">
        <v>29</v>
      </c>
      <c r="L315" t="str">
        <f t="shared" si="8"/>
        <v>2025-08</v>
      </c>
      <c r="M315" s="9">
        <f t="shared" si="9"/>
        <v>0.63909774436090228</v>
      </c>
    </row>
    <row r="316" spans="1:13" x14ac:dyDescent="0.3">
      <c r="A316" t="s">
        <v>579</v>
      </c>
      <c r="B316" s="3" t="s">
        <v>580</v>
      </c>
      <c r="C316" t="s">
        <v>13</v>
      </c>
      <c r="D316" t="s">
        <v>14</v>
      </c>
      <c r="E316">
        <v>8</v>
      </c>
      <c r="F316" s="5">
        <v>110</v>
      </c>
      <c r="G316" s="9">
        <v>0</v>
      </c>
      <c r="H316" s="5">
        <v>880</v>
      </c>
      <c r="I316" s="5">
        <v>640</v>
      </c>
      <c r="J316" t="s">
        <v>15</v>
      </c>
      <c r="K316" t="s">
        <v>29</v>
      </c>
      <c r="L316" t="str">
        <f t="shared" si="8"/>
        <v>2025-08</v>
      </c>
      <c r="M316" s="9">
        <f t="shared" si="9"/>
        <v>0.72727272727272729</v>
      </c>
    </row>
    <row r="317" spans="1:13" x14ac:dyDescent="0.3">
      <c r="A317" t="s">
        <v>581</v>
      </c>
      <c r="B317" s="3" t="s">
        <v>580</v>
      </c>
      <c r="C317" t="s">
        <v>18</v>
      </c>
      <c r="D317" t="s">
        <v>27</v>
      </c>
      <c r="E317">
        <v>8</v>
      </c>
      <c r="F317" s="5">
        <v>80</v>
      </c>
      <c r="G317" s="9">
        <v>0</v>
      </c>
      <c r="H317" s="5">
        <v>640</v>
      </c>
      <c r="I317" s="5">
        <v>400</v>
      </c>
      <c r="J317" t="s">
        <v>44</v>
      </c>
      <c r="K317" t="s">
        <v>16</v>
      </c>
      <c r="L317" t="str">
        <f t="shared" si="8"/>
        <v>2025-08</v>
      </c>
      <c r="M317" s="9">
        <f t="shared" si="9"/>
        <v>0.625</v>
      </c>
    </row>
    <row r="318" spans="1:13" x14ac:dyDescent="0.3">
      <c r="A318" t="s">
        <v>582</v>
      </c>
      <c r="B318" s="3" t="s">
        <v>583</v>
      </c>
      <c r="C318" t="s">
        <v>13</v>
      </c>
      <c r="D318" t="s">
        <v>67</v>
      </c>
      <c r="E318">
        <v>4</v>
      </c>
      <c r="F318" s="5">
        <v>35</v>
      </c>
      <c r="G318" s="9">
        <v>0.1</v>
      </c>
      <c r="H318" s="5">
        <v>126</v>
      </c>
      <c r="I318" s="5">
        <v>78</v>
      </c>
      <c r="J318" t="s">
        <v>20</v>
      </c>
      <c r="K318" t="s">
        <v>16</v>
      </c>
      <c r="L318" t="str">
        <f t="shared" si="8"/>
        <v>2025-08</v>
      </c>
      <c r="M318" s="9">
        <f t="shared" si="9"/>
        <v>0.61904761904761907</v>
      </c>
    </row>
    <row r="319" spans="1:13" x14ac:dyDescent="0.3">
      <c r="A319" t="s">
        <v>584</v>
      </c>
      <c r="B319" s="3" t="s">
        <v>585</v>
      </c>
      <c r="C319" t="s">
        <v>18</v>
      </c>
      <c r="D319" t="s">
        <v>19</v>
      </c>
      <c r="E319">
        <v>5</v>
      </c>
      <c r="F319" s="5">
        <v>40</v>
      </c>
      <c r="G319" s="9">
        <v>0.05</v>
      </c>
      <c r="H319" s="5">
        <v>190</v>
      </c>
      <c r="I319" s="5">
        <v>115</v>
      </c>
      <c r="J319" t="s">
        <v>20</v>
      </c>
      <c r="K319" t="s">
        <v>16</v>
      </c>
      <c r="L319" t="str">
        <f t="shared" si="8"/>
        <v>2025-08</v>
      </c>
      <c r="M319" s="9">
        <f t="shared" si="9"/>
        <v>0.60526315789473684</v>
      </c>
    </row>
    <row r="320" spans="1:13" x14ac:dyDescent="0.3">
      <c r="A320" t="s">
        <v>586</v>
      </c>
      <c r="B320" s="3" t="s">
        <v>585</v>
      </c>
      <c r="C320" t="s">
        <v>18</v>
      </c>
      <c r="D320" t="s">
        <v>128</v>
      </c>
      <c r="E320">
        <v>1</v>
      </c>
      <c r="F320" s="5">
        <v>350</v>
      </c>
      <c r="G320" s="9">
        <v>0</v>
      </c>
      <c r="H320" s="5">
        <v>350</v>
      </c>
      <c r="I320" s="5">
        <v>260</v>
      </c>
      <c r="J320" t="s">
        <v>20</v>
      </c>
      <c r="K320" t="s">
        <v>29</v>
      </c>
      <c r="L320" t="str">
        <f t="shared" si="8"/>
        <v>2025-08</v>
      </c>
      <c r="M320" s="9">
        <f t="shared" si="9"/>
        <v>0.74285714285714288</v>
      </c>
    </row>
    <row r="321" spans="1:13" x14ac:dyDescent="0.3">
      <c r="A321" t="s">
        <v>587</v>
      </c>
      <c r="B321" s="3" t="s">
        <v>588</v>
      </c>
      <c r="C321" t="s">
        <v>13</v>
      </c>
      <c r="D321" t="s">
        <v>41</v>
      </c>
      <c r="E321">
        <v>3</v>
      </c>
      <c r="F321" s="5">
        <v>450</v>
      </c>
      <c r="G321" s="9">
        <v>0</v>
      </c>
      <c r="H321" s="5">
        <v>1350</v>
      </c>
      <c r="I321" s="5">
        <v>990</v>
      </c>
      <c r="J321" t="s">
        <v>20</v>
      </c>
      <c r="K321" t="s">
        <v>29</v>
      </c>
      <c r="L321" t="str">
        <f t="shared" si="8"/>
        <v>2025-08</v>
      </c>
      <c r="M321" s="9">
        <f t="shared" si="9"/>
        <v>0.73333333333333328</v>
      </c>
    </row>
    <row r="322" spans="1:13" x14ac:dyDescent="0.3">
      <c r="A322" t="s">
        <v>589</v>
      </c>
      <c r="B322" s="3" t="s">
        <v>590</v>
      </c>
      <c r="C322" t="s">
        <v>13</v>
      </c>
      <c r="D322" t="s">
        <v>41</v>
      </c>
      <c r="E322">
        <v>7</v>
      </c>
      <c r="F322" s="5">
        <v>450</v>
      </c>
      <c r="G322" s="9">
        <v>0</v>
      </c>
      <c r="H322" s="5">
        <v>3150</v>
      </c>
      <c r="I322" s="5">
        <v>2310</v>
      </c>
      <c r="J322" t="s">
        <v>28</v>
      </c>
      <c r="K322" t="s">
        <v>29</v>
      </c>
      <c r="L322" t="str">
        <f t="shared" si="8"/>
        <v>2025-08</v>
      </c>
      <c r="M322" s="9">
        <f t="shared" si="9"/>
        <v>0.73333333333333328</v>
      </c>
    </row>
    <row r="323" spans="1:13" x14ac:dyDescent="0.3">
      <c r="A323" t="s">
        <v>591</v>
      </c>
      <c r="B323" s="3" t="s">
        <v>592</v>
      </c>
      <c r="C323" t="s">
        <v>18</v>
      </c>
      <c r="D323" t="s">
        <v>61</v>
      </c>
      <c r="E323">
        <v>6</v>
      </c>
      <c r="F323" s="5">
        <v>25</v>
      </c>
      <c r="G323" s="9">
        <v>0</v>
      </c>
      <c r="H323" s="5">
        <v>150</v>
      </c>
      <c r="I323" s="5">
        <v>90</v>
      </c>
      <c r="J323" t="s">
        <v>28</v>
      </c>
      <c r="K323" t="s">
        <v>29</v>
      </c>
      <c r="L323" t="str">
        <f t="shared" ref="L323:L386" si="10">TEXT(B323, "YYYY-MM")</f>
        <v>2025-08</v>
      </c>
      <c r="M323" s="9">
        <f t="shared" ref="M323:M386" si="11">I323/H323</f>
        <v>0.6</v>
      </c>
    </row>
    <row r="324" spans="1:13" x14ac:dyDescent="0.3">
      <c r="A324" t="s">
        <v>593</v>
      </c>
      <c r="B324" s="3" t="s">
        <v>592</v>
      </c>
      <c r="C324" t="s">
        <v>13</v>
      </c>
      <c r="D324" t="s">
        <v>41</v>
      </c>
      <c r="E324">
        <v>1</v>
      </c>
      <c r="F324" s="5">
        <v>450</v>
      </c>
      <c r="G324" s="9">
        <v>0.15</v>
      </c>
      <c r="H324" s="5">
        <v>382.5</v>
      </c>
      <c r="I324" s="5">
        <v>262.5</v>
      </c>
      <c r="J324" t="s">
        <v>15</v>
      </c>
      <c r="K324" t="s">
        <v>16</v>
      </c>
      <c r="L324" t="str">
        <f t="shared" si="10"/>
        <v>2025-08</v>
      </c>
      <c r="M324" s="9">
        <f t="shared" si="11"/>
        <v>0.68627450980392157</v>
      </c>
    </row>
    <row r="325" spans="1:13" x14ac:dyDescent="0.3">
      <c r="A325" t="s">
        <v>594</v>
      </c>
      <c r="B325" s="3" t="s">
        <v>595</v>
      </c>
      <c r="C325" t="s">
        <v>13</v>
      </c>
      <c r="D325" t="s">
        <v>67</v>
      </c>
      <c r="E325">
        <v>9</v>
      </c>
      <c r="F325" s="5">
        <v>35</v>
      </c>
      <c r="G325" s="9">
        <v>0</v>
      </c>
      <c r="H325" s="5">
        <v>315</v>
      </c>
      <c r="I325" s="5">
        <v>207</v>
      </c>
      <c r="J325" t="s">
        <v>15</v>
      </c>
      <c r="K325" t="s">
        <v>32</v>
      </c>
      <c r="L325" t="str">
        <f t="shared" si="10"/>
        <v>2025-08</v>
      </c>
      <c r="M325" s="9">
        <f t="shared" si="11"/>
        <v>0.65714285714285714</v>
      </c>
    </row>
    <row r="326" spans="1:13" x14ac:dyDescent="0.3">
      <c r="A326" t="s">
        <v>596</v>
      </c>
      <c r="B326" s="3" t="s">
        <v>597</v>
      </c>
      <c r="C326" t="s">
        <v>23</v>
      </c>
      <c r="D326" t="s">
        <v>58</v>
      </c>
      <c r="E326">
        <v>1</v>
      </c>
      <c r="F326" s="5">
        <v>8</v>
      </c>
      <c r="G326" s="9">
        <v>0.05</v>
      </c>
      <c r="H326" s="5">
        <v>7.6</v>
      </c>
      <c r="I326" s="5">
        <v>4.5999999999999996</v>
      </c>
      <c r="J326" t="s">
        <v>15</v>
      </c>
      <c r="K326" t="s">
        <v>32</v>
      </c>
      <c r="L326" t="str">
        <f t="shared" si="10"/>
        <v>2025-08</v>
      </c>
      <c r="M326" s="9">
        <f t="shared" si="11"/>
        <v>0.60526315789473684</v>
      </c>
    </row>
    <row r="327" spans="1:13" x14ac:dyDescent="0.3">
      <c r="A327" t="s">
        <v>598</v>
      </c>
      <c r="B327" s="3" t="s">
        <v>599</v>
      </c>
      <c r="C327" t="s">
        <v>23</v>
      </c>
      <c r="D327" t="s">
        <v>35</v>
      </c>
      <c r="E327">
        <v>9</v>
      </c>
      <c r="F327" s="5">
        <v>15</v>
      </c>
      <c r="G327" s="9">
        <v>0.05</v>
      </c>
      <c r="H327" s="5">
        <v>128.25</v>
      </c>
      <c r="I327" s="5">
        <v>83.25</v>
      </c>
      <c r="J327" t="s">
        <v>20</v>
      </c>
      <c r="K327" t="s">
        <v>16</v>
      </c>
      <c r="L327" t="str">
        <f t="shared" si="10"/>
        <v>2025-08</v>
      </c>
      <c r="M327" s="9">
        <f t="shared" si="11"/>
        <v>0.64912280701754388</v>
      </c>
    </row>
    <row r="328" spans="1:13" x14ac:dyDescent="0.3">
      <c r="A328" t="s">
        <v>600</v>
      </c>
      <c r="B328" s="3" t="s">
        <v>599</v>
      </c>
      <c r="C328" t="s">
        <v>23</v>
      </c>
      <c r="D328" t="s">
        <v>43</v>
      </c>
      <c r="E328">
        <v>6</v>
      </c>
      <c r="F328" s="5">
        <v>20</v>
      </c>
      <c r="G328" s="9">
        <v>0.1</v>
      </c>
      <c r="H328" s="5">
        <v>108</v>
      </c>
      <c r="I328" s="5">
        <v>66</v>
      </c>
      <c r="J328" t="s">
        <v>15</v>
      </c>
      <c r="K328" t="s">
        <v>29</v>
      </c>
      <c r="L328" t="str">
        <f t="shared" si="10"/>
        <v>2025-08</v>
      </c>
      <c r="M328" s="9">
        <f t="shared" si="11"/>
        <v>0.61111111111111116</v>
      </c>
    </row>
    <row r="329" spans="1:13" x14ac:dyDescent="0.3">
      <c r="A329" t="s">
        <v>601</v>
      </c>
      <c r="B329" s="3" t="s">
        <v>602</v>
      </c>
      <c r="C329" t="s">
        <v>23</v>
      </c>
      <c r="D329" t="s">
        <v>24</v>
      </c>
      <c r="E329">
        <v>5</v>
      </c>
      <c r="F329" s="5">
        <v>10</v>
      </c>
      <c r="G329" s="9">
        <v>0.1</v>
      </c>
      <c r="H329" s="5">
        <v>45</v>
      </c>
      <c r="I329" s="5">
        <v>25</v>
      </c>
      <c r="J329" t="s">
        <v>28</v>
      </c>
      <c r="K329" t="s">
        <v>16</v>
      </c>
      <c r="L329" t="str">
        <f t="shared" si="10"/>
        <v>2025-08</v>
      </c>
      <c r="M329" s="9">
        <f t="shared" si="11"/>
        <v>0.55555555555555558</v>
      </c>
    </row>
    <row r="330" spans="1:13" x14ac:dyDescent="0.3">
      <c r="A330" t="s">
        <v>603</v>
      </c>
      <c r="B330" s="3" t="s">
        <v>604</v>
      </c>
      <c r="C330" t="s">
        <v>13</v>
      </c>
      <c r="D330" t="s">
        <v>67</v>
      </c>
      <c r="E330">
        <v>6</v>
      </c>
      <c r="F330" s="5">
        <v>35</v>
      </c>
      <c r="G330" s="9">
        <v>0.05</v>
      </c>
      <c r="H330" s="5">
        <v>199.5</v>
      </c>
      <c r="I330" s="5">
        <v>127.5</v>
      </c>
      <c r="J330" t="s">
        <v>20</v>
      </c>
      <c r="K330" t="s">
        <v>29</v>
      </c>
      <c r="L330" t="str">
        <f t="shared" si="10"/>
        <v>2025-08</v>
      </c>
      <c r="M330" s="9">
        <f t="shared" si="11"/>
        <v>0.63909774436090228</v>
      </c>
    </row>
    <row r="331" spans="1:13" x14ac:dyDescent="0.3">
      <c r="A331" t="s">
        <v>605</v>
      </c>
      <c r="B331" s="3" t="s">
        <v>604</v>
      </c>
      <c r="C331" t="s">
        <v>18</v>
      </c>
      <c r="D331" t="s">
        <v>27</v>
      </c>
      <c r="E331">
        <v>7</v>
      </c>
      <c r="F331" s="5">
        <v>80</v>
      </c>
      <c r="G331" s="9">
        <v>0.05</v>
      </c>
      <c r="H331" s="5">
        <v>532</v>
      </c>
      <c r="I331" s="5">
        <v>322</v>
      </c>
      <c r="J331" t="s">
        <v>28</v>
      </c>
      <c r="K331" t="s">
        <v>29</v>
      </c>
      <c r="L331" t="str">
        <f t="shared" si="10"/>
        <v>2025-08</v>
      </c>
      <c r="M331" s="9">
        <f t="shared" si="11"/>
        <v>0.60526315789473684</v>
      </c>
    </row>
    <row r="332" spans="1:13" x14ac:dyDescent="0.3">
      <c r="A332" t="s">
        <v>606</v>
      </c>
      <c r="B332" s="3" t="s">
        <v>607</v>
      </c>
      <c r="C332" t="s">
        <v>23</v>
      </c>
      <c r="D332" t="s">
        <v>24</v>
      </c>
      <c r="E332">
        <v>8</v>
      </c>
      <c r="F332" s="5">
        <v>10</v>
      </c>
      <c r="G332" s="9">
        <v>0</v>
      </c>
      <c r="H332" s="5">
        <v>80</v>
      </c>
      <c r="I332" s="5">
        <v>48</v>
      </c>
      <c r="J332" t="s">
        <v>20</v>
      </c>
      <c r="K332" t="s">
        <v>32</v>
      </c>
      <c r="L332" t="str">
        <f t="shared" si="10"/>
        <v>2025-08</v>
      </c>
      <c r="M332" s="9">
        <f t="shared" si="11"/>
        <v>0.6</v>
      </c>
    </row>
    <row r="333" spans="1:13" x14ac:dyDescent="0.3">
      <c r="A333" t="s">
        <v>608</v>
      </c>
      <c r="B333" s="3" t="s">
        <v>609</v>
      </c>
      <c r="C333" t="s">
        <v>18</v>
      </c>
      <c r="D333" t="s">
        <v>61</v>
      </c>
      <c r="E333">
        <v>2</v>
      </c>
      <c r="F333" s="5">
        <v>25</v>
      </c>
      <c r="G333" s="9">
        <v>0</v>
      </c>
      <c r="H333" s="5">
        <v>50</v>
      </c>
      <c r="I333" s="5">
        <v>30</v>
      </c>
      <c r="J333" t="s">
        <v>20</v>
      </c>
      <c r="K333" t="s">
        <v>29</v>
      </c>
      <c r="L333" t="str">
        <f t="shared" si="10"/>
        <v>2025-08</v>
      </c>
      <c r="M333" s="9">
        <f t="shared" si="11"/>
        <v>0.6</v>
      </c>
    </row>
    <row r="334" spans="1:13" x14ac:dyDescent="0.3">
      <c r="A334" t="s">
        <v>610</v>
      </c>
      <c r="B334" s="3" t="s">
        <v>611</v>
      </c>
      <c r="C334" t="s">
        <v>13</v>
      </c>
      <c r="D334" t="s">
        <v>38</v>
      </c>
      <c r="E334">
        <v>2</v>
      </c>
      <c r="F334" s="5">
        <v>150</v>
      </c>
      <c r="G334" s="9">
        <v>0</v>
      </c>
      <c r="H334" s="5">
        <v>300</v>
      </c>
      <c r="I334" s="5">
        <v>220</v>
      </c>
      <c r="J334" t="s">
        <v>20</v>
      </c>
      <c r="K334" t="s">
        <v>29</v>
      </c>
      <c r="L334" t="str">
        <f t="shared" si="10"/>
        <v>2025-08</v>
      </c>
      <c r="M334" s="9">
        <f t="shared" si="11"/>
        <v>0.73333333333333328</v>
      </c>
    </row>
    <row r="335" spans="1:13" x14ac:dyDescent="0.3">
      <c r="A335" t="s">
        <v>612</v>
      </c>
      <c r="B335" s="3" t="s">
        <v>611</v>
      </c>
      <c r="C335" t="s">
        <v>18</v>
      </c>
      <c r="D335" t="s">
        <v>61</v>
      </c>
      <c r="E335">
        <v>6</v>
      </c>
      <c r="F335" s="5">
        <v>25</v>
      </c>
      <c r="G335" s="9">
        <v>0.1</v>
      </c>
      <c r="H335" s="5">
        <v>135</v>
      </c>
      <c r="I335" s="5">
        <v>75</v>
      </c>
      <c r="J335" t="s">
        <v>15</v>
      </c>
      <c r="K335" t="s">
        <v>29</v>
      </c>
      <c r="L335" t="str">
        <f t="shared" si="10"/>
        <v>2025-08</v>
      </c>
      <c r="M335" s="9">
        <f t="shared" si="11"/>
        <v>0.55555555555555558</v>
      </c>
    </row>
    <row r="336" spans="1:13" x14ac:dyDescent="0.3">
      <c r="A336" t="s">
        <v>613</v>
      </c>
      <c r="B336" s="3" t="s">
        <v>614</v>
      </c>
      <c r="C336" t="s">
        <v>23</v>
      </c>
      <c r="D336" t="s">
        <v>43</v>
      </c>
      <c r="E336">
        <v>3</v>
      </c>
      <c r="F336" s="5">
        <v>20</v>
      </c>
      <c r="G336" s="9">
        <v>0.1</v>
      </c>
      <c r="H336" s="5">
        <v>54</v>
      </c>
      <c r="I336" s="5">
        <v>33</v>
      </c>
      <c r="J336" t="s">
        <v>44</v>
      </c>
      <c r="K336" t="s">
        <v>29</v>
      </c>
      <c r="L336" t="str">
        <f t="shared" si="10"/>
        <v>2025-09</v>
      </c>
      <c r="M336" s="9">
        <f t="shared" si="11"/>
        <v>0.61111111111111116</v>
      </c>
    </row>
    <row r="337" spans="1:13" x14ac:dyDescent="0.3">
      <c r="A337" t="s">
        <v>615</v>
      </c>
      <c r="B337" s="3" t="s">
        <v>616</v>
      </c>
      <c r="C337" t="s">
        <v>18</v>
      </c>
      <c r="D337" t="s">
        <v>19</v>
      </c>
      <c r="E337">
        <v>4</v>
      </c>
      <c r="F337" s="5">
        <v>40</v>
      </c>
      <c r="G337" s="9">
        <v>0.1</v>
      </c>
      <c r="H337" s="5">
        <v>144</v>
      </c>
      <c r="I337" s="5">
        <v>84</v>
      </c>
      <c r="J337" t="s">
        <v>28</v>
      </c>
      <c r="K337" t="s">
        <v>29</v>
      </c>
      <c r="L337" t="str">
        <f t="shared" si="10"/>
        <v>2025-09</v>
      </c>
      <c r="M337" s="9">
        <f t="shared" si="11"/>
        <v>0.58333333333333337</v>
      </c>
    </row>
    <row r="338" spans="1:13" x14ac:dyDescent="0.3">
      <c r="A338" t="s">
        <v>617</v>
      </c>
      <c r="B338" s="3" t="s">
        <v>618</v>
      </c>
      <c r="C338" t="s">
        <v>13</v>
      </c>
      <c r="D338" t="s">
        <v>14</v>
      </c>
      <c r="E338">
        <v>6</v>
      </c>
      <c r="F338" s="5">
        <v>110</v>
      </c>
      <c r="G338" s="9">
        <v>0.05</v>
      </c>
      <c r="H338" s="5">
        <v>627</v>
      </c>
      <c r="I338" s="5">
        <v>447</v>
      </c>
      <c r="J338" t="s">
        <v>15</v>
      </c>
      <c r="K338" t="s">
        <v>29</v>
      </c>
      <c r="L338" t="str">
        <f t="shared" si="10"/>
        <v>2025-09</v>
      </c>
      <c r="M338" s="9">
        <f t="shared" si="11"/>
        <v>0.71291866028708128</v>
      </c>
    </row>
    <row r="339" spans="1:13" x14ac:dyDescent="0.3">
      <c r="A339" t="s">
        <v>619</v>
      </c>
      <c r="B339" s="3" t="s">
        <v>618</v>
      </c>
      <c r="C339" t="s">
        <v>13</v>
      </c>
      <c r="D339" t="s">
        <v>51</v>
      </c>
      <c r="E339">
        <v>4</v>
      </c>
      <c r="F339" s="5">
        <v>250</v>
      </c>
      <c r="G339" s="9">
        <v>0</v>
      </c>
      <c r="H339" s="5">
        <v>1000</v>
      </c>
      <c r="I339" s="5">
        <v>720</v>
      </c>
      <c r="J339" t="s">
        <v>28</v>
      </c>
      <c r="K339" t="s">
        <v>29</v>
      </c>
      <c r="L339" t="str">
        <f t="shared" si="10"/>
        <v>2025-09</v>
      </c>
      <c r="M339" s="9">
        <f t="shared" si="11"/>
        <v>0.72</v>
      </c>
    </row>
    <row r="340" spans="1:13" x14ac:dyDescent="0.3">
      <c r="A340" t="s">
        <v>620</v>
      </c>
      <c r="B340" s="3" t="s">
        <v>621</v>
      </c>
      <c r="C340" t="s">
        <v>23</v>
      </c>
      <c r="D340" t="s">
        <v>31</v>
      </c>
      <c r="E340">
        <v>7</v>
      </c>
      <c r="F340" s="5">
        <v>25</v>
      </c>
      <c r="G340" s="9">
        <v>0.1</v>
      </c>
      <c r="H340" s="5">
        <v>157.5</v>
      </c>
      <c r="I340" s="5">
        <v>101.5</v>
      </c>
      <c r="J340" t="s">
        <v>15</v>
      </c>
      <c r="K340" t="s">
        <v>29</v>
      </c>
      <c r="L340" t="str">
        <f t="shared" si="10"/>
        <v>2025-09</v>
      </c>
      <c r="M340" s="9">
        <f t="shared" si="11"/>
        <v>0.64444444444444449</v>
      </c>
    </row>
    <row r="341" spans="1:13" x14ac:dyDescent="0.3">
      <c r="A341" t="s">
        <v>622</v>
      </c>
      <c r="B341" s="3" t="s">
        <v>623</v>
      </c>
      <c r="C341" t="s">
        <v>13</v>
      </c>
      <c r="D341" t="s">
        <v>38</v>
      </c>
      <c r="E341">
        <v>3</v>
      </c>
      <c r="F341" s="5">
        <v>150</v>
      </c>
      <c r="G341" s="9">
        <v>0</v>
      </c>
      <c r="H341" s="5">
        <v>450</v>
      </c>
      <c r="I341" s="5">
        <v>330</v>
      </c>
      <c r="J341" t="s">
        <v>15</v>
      </c>
      <c r="K341" t="s">
        <v>16</v>
      </c>
      <c r="L341" t="str">
        <f t="shared" si="10"/>
        <v>2025-09</v>
      </c>
      <c r="M341" s="9">
        <f t="shared" si="11"/>
        <v>0.73333333333333328</v>
      </c>
    </row>
    <row r="342" spans="1:13" x14ac:dyDescent="0.3">
      <c r="A342" t="s">
        <v>624</v>
      </c>
      <c r="B342" s="3" t="s">
        <v>625</v>
      </c>
      <c r="C342" t="s">
        <v>18</v>
      </c>
      <c r="D342" t="s">
        <v>61</v>
      </c>
      <c r="E342">
        <v>6</v>
      </c>
      <c r="F342" s="5">
        <v>25</v>
      </c>
      <c r="G342" s="9">
        <v>0</v>
      </c>
      <c r="H342" s="5">
        <v>150</v>
      </c>
      <c r="I342" s="5">
        <v>90</v>
      </c>
      <c r="J342" t="s">
        <v>28</v>
      </c>
      <c r="K342" t="s">
        <v>29</v>
      </c>
      <c r="L342" t="str">
        <f t="shared" si="10"/>
        <v>2025-09</v>
      </c>
      <c r="M342" s="9">
        <f t="shared" si="11"/>
        <v>0.6</v>
      </c>
    </row>
    <row r="343" spans="1:13" x14ac:dyDescent="0.3">
      <c r="A343" t="s">
        <v>626</v>
      </c>
      <c r="B343" s="3" t="s">
        <v>625</v>
      </c>
      <c r="C343" t="s">
        <v>13</v>
      </c>
      <c r="D343" t="s">
        <v>51</v>
      </c>
      <c r="E343">
        <v>7</v>
      </c>
      <c r="F343" s="5">
        <v>250</v>
      </c>
      <c r="G343" s="9">
        <v>0</v>
      </c>
      <c r="H343" s="5">
        <v>1750</v>
      </c>
      <c r="I343" s="5">
        <v>1260</v>
      </c>
      <c r="J343" t="s">
        <v>44</v>
      </c>
      <c r="K343" t="s">
        <v>16</v>
      </c>
      <c r="L343" t="str">
        <f t="shared" si="10"/>
        <v>2025-09</v>
      </c>
      <c r="M343" s="9">
        <f t="shared" si="11"/>
        <v>0.72</v>
      </c>
    </row>
    <row r="344" spans="1:13" x14ac:dyDescent="0.3">
      <c r="A344" t="s">
        <v>627</v>
      </c>
      <c r="B344" s="3" t="s">
        <v>628</v>
      </c>
      <c r="C344" t="s">
        <v>23</v>
      </c>
      <c r="D344" t="s">
        <v>58</v>
      </c>
      <c r="E344">
        <v>9</v>
      </c>
      <c r="F344" s="5">
        <v>8</v>
      </c>
      <c r="G344" s="9">
        <v>0.15</v>
      </c>
      <c r="H344" s="5">
        <v>61.2</v>
      </c>
      <c r="I344" s="5">
        <v>34.200000000000003</v>
      </c>
      <c r="J344" t="s">
        <v>20</v>
      </c>
      <c r="K344" t="s">
        <v>29</v>
      </c>
      <c r="L344" t="str">
        <f t="shared" si="10"/>
        <v>2025-09</v>
      </c>
      <c r="M344" s="9">
        <f t="shared" si="11"/>
        <v>0.55882352941176472</v>
      </c>
    </row>
    <row r="345" spans="1:13" x14ac:dyDescent="0.3">
      <c r="A345" t="s">
        <v>629</v>
      </c>
      <c r="B345" s="3" t="s">
        <v>630</v>
      </c>
      <c r="C345" t="s">
        <v>13</v>
      </c>
      <c r="D345" t="s">
        <v>38</v>
      </c>
      <c r="E345">
        <v>6</v>
      </c>
      <c r="F345" s="5">
        <v>150</v>
      </c>
      <c r="G345" s="9">
        <v>0.2</v>
      </c>
      <c r="H345" s="5">
        <v>720</v>
      </c>
      <c r="I345" s="5">
        <v>480</v>
      </c>
      <c r="J345" t="s">
        <v>20</v>
      </c>
      <c r="K345" t="s">
        <v>29</v>
      </c>
      <c r="L345" t="str">
        <f t="shared" si="10"/>
        <v>2025-09</v>
      </c>
      <c r="M345" s="9">
        <f t="shared" si="11"/>
        <v>0.66666666666666663</v>
      </c>
    </row>
    <row r="346" spans="1:13" x14ac:dyDescent="0.3">
      <c r="A346" t="s">
        <v>631</v>
      </c>
      <c r="B346" s="3" t="s">
        <v>630</v>
      </c>
      <c r="C346" t="s">
        <v>23</v>
      </c>
      <c r="D346" t="s">
        <v>31</v>
      </c>
      <c r="E346">
        <v>9</v>
      </c>
      <c r="F346" s="5">
        <v>25</v>
      </c>
      <c r="G346" s="9">
        <v>0.05</v>
      </c>
      <c r="H346" s="5">
        <v>213.75</v>
      </c>
      <c r="I346" s="5">
        <v>141.75</v>
      </c>
      <c r="J346" t="s">
        <v>28</v>
      </c>
      <c r="K346" t="s">
        <v>16</v>
      </c>
      <c r="L346" t="str">
        <f t="shared" si="10"/>
        <v>2025-09</v>
      </c>
      <c r="M346" s="9">
        <f t="shared" si="11"/>
        <v>0.66315789473684206</v>
      </c>
    </row>
    <row r="347" spans="1:13" x14ac:dyDescent="0.3">
      <c r="A347" t="s">
        <v>632</v>
      </c>
      <c r="B347" s="3" t="s">
        <v>633</v>
      </c>
      <c r="C347" t="s">
        <v>23</v>
      </c>
      <c r="D347" t="s">
        <v>31</v>
      </c>
      <c r="E347">
        <v>6</v>
      </c>
      <c r="F347" s="5">
        <v>25</v>
      </c>
      <c r="G347" s="9">
        <v>0.05</v>
      </c>
      <c r="H347" s="5">
        <v>142.5</v>
      </c>
      <c r="I347" s="5">
        <v>94.5</v>
      </c>
      <c r="J347" t="s">
        <v>15</v>
      </c>
      <c r="K347" t="s">
        <v>32</v>
      </c>
      <c r="L347" t="str">
        <f t="shared" si="10"/>
        <v>2025-09</v>
      </c>
      <c r="M347" s="9">
        <f t="shared" si="11"/>
        <v>0.66315789473684206</v>
      </c>
    </row>
    <row r="348" spans="1:13" x14ac:dyDescent="0.3">
      <c r="A348" t="s">
        <v>634</v>
      </c>
      <c r="B348" s="3" t="s">
        <v>635</v>
      </c>
      <c r="C348" t="s">
        <v>18</v>
      </c>
      <c r="D348" t="s">
        <v>61</v>
      </c>
      <c r="E348">
        <v>3</v>
      </c>
      <c r="F348" s="5">
        <v>25</v>
      </c>
      <c r="G348" s="9">
        <v>0</v>
      </c>
      <c r="H348" s="5">
        <v>75</v>
      </c>
      <c r="I348" s="5">
        <v>45</v>
      </c>
      <c r="J348" t="s">
        <v>44</v>
      </c>
      <c r="K348" t="s">
        <v>29</v>
      </c>
      <c r="L348" t="str">
        <f t="shared" si="10"/>
        <v>2025-09</v>
      </c>
      <c r="M348" s="9">
        <f t="shared" si="11"/>
        <v>0.6</v>
      </c>
    </row>
    <row r="349" spans="1:13" x14ac:dyDescent="0.3">
      <c r="A349" t="s">
        <v>636</v>
      </c>
      <c r="B349" s="3" t="s">
        <v>637</v>
      </c>
      <c r="C349" t="s">
        <v>13</v>
      </c>
      <c r="D349" t="s">
        <v>14</v>
      </c>
      <c r="E349">
        <v>4</v>
      </c>
      <c r="F349" s="5">
        <v>110</v>
      </c>
      <c r="G349" s="9">
        <v>0</v>
      </c>
      <c r="H349" s="5">
        <v>440</v>
      </c>
      <c r="I349" s="5">
        <v>320</v>
      </c>
      <c r="J349" t="s">
        <v>15</v>
      </c>
      <c r="K349" t="s">
        <v>29</v>
      </c>
      <c r="L349" t="str">
        <f t="shared" si="10"/>
        <v>2025-09</v>
      </c>
      <c r="M349" s="9">
        <f t="shared" si="11"/>
        <v>0.72727272727272729</v>
      </c>
    </row>
    <row r="350" spans="1:13" x14ac:dyDescent="0.3">
      <c r="A350" t="s">
        <v>638</v>
      </c>
      <c r="B350" s="3" t="s">
        <v>637</v>
      </c>
      <c r="C350" t="s">
        <v>13</v>
      </c>
      <c r="D350" t="s">
        <v>51</v>
      </c>
      <c r="E350">
        <v>8</v>
      </c>
      <c r="F350" s="5">
        <v>250</v>
      </c>
      <c r="G350" s="9">
        <v>0.1</v>
      </c>
      <c r="H350" s="5">
        <v>1800</v>
      </c>
      <c r="I350" s="5">
        <v>1240</v>
      </c>
      <c r="J350" t="s">
        <v>20</v>
      </c>
      <c r="K350" t="s">
        <v>16</v>
      </c>
      <c r="L350" t="str">
        <f t="shared" si="10"/>
        <v>2025-09</v>
      </c>
      <c r="M350" s="9">
        <f t="shared" si="11"/>
        <v>0.68888888888888888</v>
      </c>
    </row>
    <row r="351" spans="1:13" x14ac:dyDescent="0.3">
      <c r="A351" t="s">
        <v>639</v>
      </c>
      <c r="B351" s="3" t="s">
        <v>640</v>
      </c>
      <c r="C351" t="s">
        <v>13</v>
      </c>
      <c r="D351" t="s">
        <v>67</v>
      </c>
      <c r="E351">
        <v>9</v>
      </c>
      <c r="F351" s="5">
        <v>35</v>
      </c>
      <c r="G351" s="9">
        <v>0.1</v>
      </c>
      <c r="H351" s="5">
        <v>283.5</v>
      </c>
      <c r="I351" s="5">
        <v>175.5</v>
      </c>
      <c r="J351" t="s">
        <v>20</v>
      </c>
      <c r="K351" t="s">
        <v>32</v>
      </c>
      <c r="L351" t="str">
        <f t="shared" si="10"/>
        <v>2025-09</v>
      </c>
      <c r="M351" s="9">
        <f t="shared" si="11"/>
        <v>0.61904761904761907</v>
      </c>
    </row>
    <row r="352" spans="1:13" x14ac:dyDescent="0.3">
      <c r="A352" t="s">
        <v>641</v>
      </c>
      <c r="B352" s="3" t="s">
        <v>642</v>
      </c>
      <c r="C352" t="s">
        <v>18</v>
      </c>
      <c r="D352" t="s">
        <v>128</v>
      </c>
      <c r="E352">
        <v>6</v>
      </c>
      <c r="F352" s="5">
        <v>350</v>
      </c>
      <c r="G352" s="9">
        <v>0</v>
      </c>
      <c r="H352" s="5">
        <v>2100</v>
      </c>
      <c r="I352" s="5">
        <v>1560</v>
      </c>
      <c r="J352" t="s">
        <v>15</v>
      </c>
      <c r="K352" t="s">
        <v>32</v>
      </c>
      <c r="L352" t="str">
        <f t="shared" si="10"/>
        <v>2025-09</v>
      </c>
      <c r="M352" s="9">
        <f t="shared" si="11"/>
        <v>0.74285714285714288</v>
      </c>
    </row>
    <row r="353" spans="1:13" x14ac:dyDescent="0.3">
      <c r="A353" t="s">
        <v>643</v>
      </c>
      <c r="B353" s="3" t="s">
        <v>644</v>
      </c>
      <c r="C353" t="s">
        <v>18</v>
      </c>
      <c r="D353" t="s">
        <v>61</v>
      </c>
      <c r="E353">
        <v>9</v>
      </c>
      <c r="F353" s="5">
        <v>25</v>
      </c>
      <c r="G353" s="9">
        <v>0.1</v>
      </c>
      <c r="H353" s="5">
        <v>202.5</v>
      </c>
      <c r="I353" s="5">
        <v>112.5</v>
      </c>
      <c r="J353" t="s">
        <v>15</v>
      </c>
      <c r="K353" t="s">
        <v>29</v>
      </c>
      <c r="L353" t="str">
        <f t="shared" si="10"/>
        <v>2025-09</v>
      </c>
      <c r="M353" s="9">
        <f t="shared" si="11"/>
        <v>0.55555555555555558</v>
      </c>
    </row>
    <row r="354" spans="1:13" x14ac:dyDescent="0.3">
      <c r="A354" t="s">
        <v>645</v>
      </c>
      <c r="B354" s="3" t="s">
        <v>644</v>
      </c>
      <c r="C354" t="s">
        <v>18</v>
      </c>
      <c r="D354" t="s">
        <v>128</v>
      </c>
      <c r="E354">
        <v>2</v>
      </c>
      <c r="F354" s="5">
        <v>350</v>
      </c>
      <c r="G354" s="9">
        <v>0.15</v>
      </c>
      <c r="H354" s="5">
        <v>595</v>
      </c>
      <c r="I354" s="5">
        <v>415</v>
      </c>
      <c r="J354" t="s">
        <v>15</v>
      </c>
      <c r="K354" t="s">
        <v>29</v>
      </c>
      <c r="L354" t="str">
        <f t="shared" si="10"/>
        <v>2025-09</v>
      </c>
      <c r="M354" s="9">
        <f t="shared" si="11"/>
        <v>0.69747899159663862</v>
      </c>
    </row>
    <row r="355" spans="1:13" x14ac:dyDescent="0.3">
      <c r="A355" t="s">
        <v>646</v>
      </c>
      <c r="B355" s="3" t="s">
        <v>647</v>
      </c>
      <c r="C355" t="s">
        <v>13</v>
      </c>
      <c r="D355" t="s">
        <v>41</v>
      </c>
      <c r="E355">
        <v>8</v>
      </c>
      <c r="F355" s="5">
        <v>450</v>
      </c>
      <c r="G355" s="9">
        <v>0.05</v>
      </c>
      <c r="H355" s="5">
        <v>3420</v>
      </c>
      <c r="I355" s="5">
        <v>2460</v>
      </c>
      <c r="J355" t="s">
        <v>15</v>
      </c>
      <c r="K355" t="s">
        <v>32</v>
      </c>
      <c r="L355" t="str">
        <f t="shared" si="10"/>
        <v>2025-09</v>
      </c>
      <c r="M355" s="9">
        <f t="shared" si="11"/>
        <v>0.7192982456140351</v>
      </c>
    </row>
    <row r="356" spans="1:13" x14ac:dyDescent="0.3">
      <c r="A356" t="s">
        <v>648</v>
      </c>
      <c r="B356" s="3" t="s">
        <v>649</v>
      </c>
      <c r="C356" t="s">
        <v>13</v>
      </c>
      <c r="D356" t="s">
        <v>41</v>
      </c>
      <c r="E356">
        <v>8</v>
      </c>
      <c r="F356" s="5">
        <v>450</v>
      </c>
      <c r="G356" s="9">
        <v>0</v>
      </c>
      <c r="H356" s="5">
        <v>3600</v>
      </c>
      <c r="I356" s="5">
        <v>2640</v>
      </c>
      <c r="J356" t="s">
        <v>20</v>
      </c>
      <c r="K356" t="s">
        <v>32</v>
      </c>
      <c r="L356" t="str">
        <f t="shared" si="10"/>
        <v>2025-09</v>
      </c>
      <c r="M356" s="9">
        <f t="shared" si="11"/>
        <v>0.73333333333333328</v>
      </c>
    </row>
    <row r="357" spans="1:13" x14ac:dyDescent="0.3">
      <c r="A357" t="s">
        <v>650</v>
      </c>
      <c r="B357" s="3" t="s">
        <v>649</v>
      </c>
      <c r="C357" t="s">
        <v>18</v>
      </c>
      <c r="D357" t="s">
        <v>27</v>
      </c>
      <c r="E357">
        <v>7</v>
      </c>
      <c r="F357" s="5">
        <v>80</v>
      </c>
      <c r="G357" s="9">
        <v>0</v>
      </c>
      <c r="H357" s="5">
        <v>560</v>
      </c>
      <c r="I357" s="5">
        <v>350</v>
      </c>
      <c r="J357" t="s">
        <v>20</v>
      </c>
      <c r="K357" t="s">
        <v>29</v>
      </c>
      <c r="L357" t="str">
        <f t="shared" si="10"/>
        <v>2025-09</v>
      </c>
      <c r="M357" s="9">
        <f t="shared" si="11"/>
        <v>0.625</v>
      </c>
    </row>
    <row r="358" spans="1:13" x14ac:dyDescent="0.3">
      <c r="A358" t="s">
        <v>651</v>
      </c>
      <c r="B358" s="3" t="s">
        <v>652</v>
      </c>
      <c r="C358" t="s">
        <v>23</v>
      </c>
      <c r="D358" t="s">
        <v>43</v>
      </c>
      <c r="E358">
        <v>9</v>
      </c>
      <c r="F358" s="5">
        <v>20</v>
      </c>
      <c r="G358" s="9">
        <v>0</v>
      </c>
      <c r="H358" s="5">
        <v>180</v>
      </c>
      <c r="I358" s="5">
        <v>117</v>
      </c>
      <c r="J358" t="s">
        <v>15</v>
      </c>
      <c r="K358" t="s">
        <v>29</v>
      </c>
      <c r="L358" t="str">
        <f t="shared" si="10"/>
        <v>2025-09</v>
      </c>
      <c r="M358" s="9">
        <f t="shared" si="11"/>
        <v>0.65</v>
      </c>
    </row>
    <row r="359" spans="1:13" x14ac:dyDescent="0.3">
      <c r="A359" t="s">
        <v>653</v>
      </c>
      <c r="B359" s="3" t="s">
        <v>654</v>
      </c>
      <c r="C359" t="s">
        <v>13</v>
      </c>
      <c r="D359" t="s">
        <v>51</v>
      </c>
      <c r="E359">
        <v>7</v>
      </c>
      <c r="F359" s="5">
        <v>250</v>
      </c>
      <c r="G359" s="9">
        <v>0.05</v>
      </c>
      <c r="H359" s="5">
        <v>1662.5</v>
      </c>
      <c r="I359" s="5">
        <v>1172.5</v>
      </c>
      <c r="J359" t="s">
        <v>44</v>
      </c>
      <c r="K359" t="s">
        <v>32</v>
      </c>
      <c r="L359" t="str">
        <f t="shared" si="10"/>
        <v>2025-09</v>
      </c>
      <c r="M359" s="9">
        <f t="shared" si="11"/>
        <v>0.70526315789473681</v>
      </c>
    </row>
    <row r="360" spans="1:13" x14ac:dyDescent="0.3">
      <c r="A360" t="s">
        <v>655</v>
      </c>
      <c r="B360" s="3" t="s">
        <v>656</v>
      </c>
      <c r="C360" t="s">
        <v>18</v>
      </c>
      <c r="D360" t="s">
        <v>128</v>
      </c>
      <c r="E360">
        <v>9</v>
      </c>
      <c r="F360" s="5">
        <v>350</v>
      </c>
      <c r="G360" s="9">
        <v>0.1</v>
      </c>
      <c r="H360" s="5">
        <v>2835</v>
      </c>
      <c r="I360" s="5">
        <v>2025</v>
      </c>
      <c r="J360" t="s">
        <v>44</v>
      </c>
      <c r="K360" t="s">
        <v>29</v>
      </c>
      <c r="L360" t="str">
        <f t="shared" si="10"/>
        <v>2025-09</v>
      </c>
      <c r="M360" s="9">
        <f t="shared" si="11"/>
        <v>0.7142857142857143</v>
      </c>
    </row>
    <row r="361" spans="1:13" x14ac:dyDescent="0.3">
      <c r="A361" t="s">
        <v>657</v>
      </c>
      <c r="B361" s="3" t="s">
        <v>656</v>
      </c>
      <c r="C361" t="s">
        <v>18</v>
      </c>
      <c r="D361" t="s">
        <v>61</v>
      </c>
      <c r="E361">
        <v>1</v>
      </c>
      <c r="F361" s="5">
        <v>25</v>
      </c>
      <c r="G361" s="9">
        <v>0</v>
      </c>
      <c r="H361" s="5">
        <v>25</v>
      </c>
      <c r="I361" s="5">
        <v>15</v>
      </c>
      <c r="J361" t="s">
        <v>15</v>
      </c>
      <c r="K361" t="s">
        <v>29</v>
      </c>
      <c r="L361" t="str">
        <f t="shared" si="10"/>
        <v>2025-09</v>
      </c>
      <c r="M361" s="9">
        <f t="shared" si="11"/>
        <v>0.6</v>
      </c>
    </row>
    <row r="362" spans="1:13" x14ac:dyDescent="0.3">
      <c r="A362" t="s">
        <v>658</v>
      </c>
      <c r="B362" s="3" t="s">
        <v>659</v>
      </c>
      <c r="C362" t="s">
        <v>18</v>
      </c>
      <c r="D362" t="s">
        <v>61</v>
      </c>
      <c r="E362">
        <v>2</v>
      </c>
      <c r="F362" s="5">
        <v>25</v>
      </c>
      <c r="G362" s="9">
        <v>0.15</v>
      </c>
      <c r="H362" s="5">
        <v>42.5</v>
      </c>
      <c r="I362" s="5">
        <v>22.5</v>
      </c>
      <c r="J362" t="s">
        <v>44</v>
      </c>
      <c r="K362" t="s">
        <v>29</v>
      </c>
      <c r="L362" t="str">
        <f t="shared" si="10"/>
        <v>2025-09</v>
      </c>
      <c r="M362" s="9">
        <f t="shared" si="11"/>
        <v>0.52941176470588236</v>
      </c>
    </row>
    <row r="363" spans="1:13" x14ac:dyDescent="0.3">
      <c r="A363" t="s">
        <v>660</v>
      </c>
      <c r="B363" s="3" t="s">
        <v>661</v>
      </c>
      <c r="C363" t="s">
        <v>18</v>
      </c>
      <c r="D363" t="s">
        <v>128</v>
      </c>
      <c r="E363">
        <v>3</v>
      </c>
      <c r="F363" s="5">
        <v>350</v>
      </c>
      <c r="G363" s="9">
        <v>0</v>
      </c>
      <c r="H363" s="5">
        <v>1050</v>
      </c>
      <c r="I363" s="5">
        <v>780</v>
      </c>
      <c r="J363" t="s">
        <v>20</v>
      </c>
      <c r="K363" t="s">
        <v>16</v>
      </c>
      <c r="L363" t="str">
        <f t="shared" si="10"/>
        <v>2025-09</v>
      </c>
      <c r="M363" s="9">
        <f t="shared" si="11"/>
        <v>0.74285714285714288</v>
      </c>
    </row>
    <row r="364" spans="1:13" x14ac:dyDescent="0.3">
      <c r="A364" t="s">
        <v>662</v>
      </c>
      <c r="B364" s="3" t="s">
        <v>663</v>
      </c>
      <c r="C364" t="s">
        <v>18</v>
      </c>
      <c r="D364" t="s">
        <v>128</v>
      </c>
      <c r="E364">
        <v>4</v>
      </c>
      <c r="F364" s="5">
        <v>350</v>
      </c>
      <c r="G364" s="9">
        <v>0.1</v>
      </c>
      <c r="H364" s="5">
        <v>1260</v>
      </c>
      <c r="I364" s="5">
        <v>900</v>
      </c>
      <c r="J364" t="s">
        <v>44</v>
      </c>
      <c r="K364" t="s">
        <v>16</v>
      </c>
      <c r="L364" t="str">
        <f t="shared" si="10"/>
        <v>2025-09</v>
      </c>
      <c r="M364" s="9">
        <f t="shared" si="11"/>
        <v>0.7142857142857143</v>
      </c>
    </row>
    <row r="365" spans="1:13" x14ac:dyDescent="0.3">
      <c r="A365" t="s">
        <v>664</v>
      </c>
      <c r="B365" s="3" t="s">
        <v>663</v>
      </c>
      <c r="C365" t="s">
        <v>23</v>
      </c>
      <c r="D365" t="s">
        <v>43</v>
      </c>
      <c r="E365">
        <v>9</v>
      </c>
      <c r="F365" s="5">
        <v>20</v>
      </c>
      <c r="G365" s="9">
        <v>0.05</v>
      </c>
      <c r="H365" s="5">
        <v>171</v>
      </c>
      <c r="I365" s="5">
        <v>108</v>
      </c>
      <c r="J365" t="s">
        <v>20</v>
      </c>
      <c r="K365" t="s">
        <v>29</v>
      </c>
      <c r="L365" t="str">
        <f t="shared" si="10"/>
        <v>2025-09</v>
      </c>
      <c r="M365" s="9">
        <f t="shared" si="11"/>
        <v>0.63157894736842102</v>
      </c>
    </row>
    <row r="366" spans="1:13" x14ac:dyDescent="0.3">
      <c r="A366" t="s">
        <v>665</v>
      </c>
      <c r="B366" s="3" t="s">
        <v>666</v>
      </c>
      <c r="C366" t="s">
        <v>13</v>
      </c>
      <c r="D366" t="s">
        <v>38</v>
      </c>
      <c r="E366">
        <v>8</v>
      </c>
      <c r="F366" s="5">
        <v>150</v>
      </c>
      <c r="G366" s="9">
        <v>0</v>
      </c>
      <c r="H366" s="5">
        <v>1200</v>
      </c>
      <c r="I366" s="5">
        <v>880</v>
      </c>
      <c r="J366" t="s">
        <v>44</v>
      </c>
      <c r="K366" t="s">
        <v>29</v>
      </c>
      <c r="L366" t="str">
        <f t="shared" si="10"/>
        <v>2025-09</v>
      </c>
      <c r="M366" s="9">
        <f t="shared" si="11"/>
        <v>0.73333333333333328</v>
      </c>
    </row>
    <row r="367" spans="1:13" x14ac:dyDescent="0.3">
      <c r="A367" t="s">
        <v>667</v>
      </c>
      <c r="B367" s="3" t="s">
        <v>668</v>
      </c>
      <c r="C367" t="s">
        <v>13</v>
      </c>
      <c r="D367" t="s">
        <v>51</v>
      </c>
      <c r="E367">
        <v>2</v>
      </c>
      <c r="F367" s="5">
        <v>250</v>
      </c>
      <c r="G367" s="9">
        <v>0</v>
      </c>
      <c r="H367" s="5">
        <v>500</v>
      </c>
      <c r="I367" s="5">
        <v>360</v>
      </c>
      <c r="J367" t="s">
        <v>44</v>
      </c>
      <c r="K367" t="s">
        <v>16</v>
      </c>
      <c r="L367" t="str">
        <f t="shared" si="10"/>
        <v>2025-09</v>
      </c>
      <c r="M367" s="9">
        <f t="shared" si="11"/>
        <v>0.72</v>
      </c>
    </row>
    <row r="368" spans="1:13" x14ac:dyDescent="0.3">
      <c r="A368" t="s">
        <v>669</v>
      </c>
      <c r="B368" s="3" t="s">
        <v>668</v>
      </c>
      <c r="C368" t="s">
        <v>18</v>
      </c>
      <c r="D368" t="s">
        <v>128</v>
      </c>
      <c r="E368">
        <v>9</v>
      </c>
      <c r="F368" s="5">
        <v>350</v>
      </c>
      <c r="G368" s="9">
        <v>0.05</v>
      </c>
      <c r="H368" s="5">
        <v>2992.5</v>
      </c>
      <c r="I368" s="5">
        <v>2182.5</v>
      </c>
      <c r="J368" t="s">
        <v>20</v>
      </c>
      <c r="K368" t="s">
        <v>29</v>
      </c>
      <c r="L368" t="str">
        <f t="shared" si="10"/>
        <v>2025-09</v>
      </c>
      <c r="M368" s="9">
        <f t="shared" si="11"/>
        <v>0.72932330827067671</v>
      </c>
    </row>
    <row r="369" spans="1:13" x14ac:dyDescent="0.3">
      <c r="A369" t="s">
        <v>670</v>
      </c>
      <c r="B369" s="3" t="s">
        <v>671</v>
      </c>
      <c r="C369" t="s">
        <v>13</v>
      </c>
      <c r="D369" t="s">
        <v>41</v>
      </c>
      <c r="E369">
        <v>4</v>
      </c>
      <c r="F369" s="5">
        <v>450</v>
      </c>
      <c r="G369" s="9">
        <v>0.05</v>
      </c>
      <c r="H369" s="5">
        <v>1710</v>
      </c>
      <c r="I369" s="5">
        <v>1230</v>
      </c>
      <c r="J369" t="s">
        <v>15</v>
      </c>
      <c r="K369" t="s">
        <v>29</v>
      </c>
      <c r="L369" t="str">
        <f t="shared" si="10"/>
        <v>2025-09</v>
      </c>
      <c r="M369" s="9">
        <f t="shared" si="11"/>
        <v>0.7192982456140351</v>
      </c>
    </row>
    <row r="370" spans="1:13" x14ac:dyDescent="0.3">
      <c r="A370" t="s">
        <v>672</v>
      </c>
      <c r="B370" s="3" t="s">
        <v>673</v>
      </c>
      <c r="C370" t="s">
        <v>13</v>
      </c>
      <c r="D370" t="s">
        <v>38</v>
      </c>
      <c r="E370">
        <v>2</v>
      </c>
      <c r="F370" s="5">
        <v>150</v>
      </c>
      <c r="G370" s="9">
        <v>0</v>
      </c>
      <c r="H370" s="5">
        <v>300</v>
      </c>
      <c r="I370" s="5">
        <v>220</v>
      </c>
      <c r="J370" t="s">
        <v>44</v>
      </c>
      <c r="K370" t="s">
        <v>29</v>
      </c>
      <c r="L370" t="str">
        <f t="shared" si="10"/>
        <v>2025-09</v>
      </c>
      <c r="M370" s="9">
        <f t="shared" si="11"/>
        <v>0.73333333333333328</v>
      </c>
    </row>
    <row r="371" spans="1:13" x14ac:dyDescent="0.3">
      <c r="A371" t="s">
        <v>674</v>
      </c>
      <c r="B371" s="3" t="s">
        <v>675</v>
      </c>
      <c r="C371" t="s">
        <v>18</v>
      </c>
      <c r="D371" t="s">
        <v>19</v>
      </c>
      <c r="E371">
        <v>5</v>
      </c>
      <c r="F371" s="5">
        <v>40</v>
      </c>
      <c r="G371" s="9">
        <v>0</v>
      </c>
      <c r="H371" s="5">
        <v>200</v>
      </c>
      <c r="I371" s="5">
        <v>125</v>
      </c>
      <c r="J371" t="s">
        <v>20</v>
      </c>
      <c r="K371" t="s">
        <v>16</v>
      </c>
      <c r="L371" t="str">
        <f t="shared" si="10"/>
        <v>2025-09</v>
      </c>
      <c r="M371" s="9">
        <f t="shared" si="11"/>
        <v>0.625</v>
      </c>
    </row>
    <row r="372" spans="1:13" x14ac:dyDescent="0.3">
      <c r="A372" t="s">
        <v>676</v>
      </c>
      <c r="B372" s="3" t="s">
        <v>675</v>
      </c>
      <c r="C372" t="s">
        <v>23</v>
      </c>
      <c r="D372" t="s">
        <v>43</v>
      </c>
      <c r="E372">
        <v>7</v>
      </c>
      <c r="F372" s="5">
        <v>20</v>
      </c>
      <c r="G372" s="9">
        <v>0.2</v>
      </c>
      <c r="H372" s="5">
        <v>112</v>
      </c>
      <c r="I372" s="5">
        <v>63</v>
      </c>
      <c r="J372" t="s">
        <v>44</v>
      </c>
      <c r="K372" t="s">
        <v>32</v>
      </c>
      <c r="L372" t="str">
        <f t="shared" si="10"/>
        <v>2025-09</v>
      </c>
      <c r="M372" s="9">
        <f t="shared" si="11"/>
        <v>0.5625</v>
      </c>
    </row>
    <row r="373" spans="1:13" x14ac:dyDescent="0.3">
      <c r="A373" t="s">
        <v>677</v>
      </c>
      <c r="B373" s="3" t="s">
        <v>678</v>
      </c>
      <c r="C373" t="s">
        <v>23</v>
      </c>
      <c r="D373" t="s">
        <v>31</v>
      </c>
      <c r="E373">
        <v>2</v>
      </c>
      <c r="F373" s="5">
        <v>25</v>
      </c>
      <c r="G373" s="9">
        <v>0</v>
      </c>
      <c r="H373" s="5">
        <v>50</v>
      </c>
      <c r="I373" s="5">
        <v>34</v>
      </c>
      <c r="J373" t="s">
        <v>28</v>
      </c>
      <c r="K373" t="s">
        <v>29</v>
      </c>
      <c r="L373" t="str">
        <f t="shared" si="10"/>
        <v>2025-09</v>
      </c>
      <c r="M373" s="9">
        <f t="shared" si="11"/>
        <v>0.68</v>
      </c>
    </row>
    <row r="374" spans="1:13" x14ac:dyDescent="0.3">
      <c r="A374" t="s">
        <v>679</v>
      </c>
      <c r="B374" s="3" t="s">
        <v>680</v>
      </c>
      <c r="C374" t="s">
        <v>18</v>
      </c>
      <c r="D374" t="s">
        <v>27</v>
      </c>
      <c r="E374">
        <v>5</v>
      </c>
      <c r="F374" s="5">
        <v>80</v>
      </c>
      <c r="G374" s="9">
        <v>0.05</v>
      </c>
      <c r="H374" s="5">
        <v>380</v>
      </c>
      <c r="I374" s="5">
        <v>230</v>
      </c>
      <c r="J374" t="s">
        <v>44</v>
      </c>
      <c r="K374" t="s">
        <v>29</v>
      </c>
      <c r="L374" t="str">
        <f t="shared" si="10"/>
        <v>2025-09</v>
      </c>
      <c r="M374" s="9">
        <f t="shared" si="11"/>
        <v>0.60526315789473684</v>
      </c>
    </row>
    <row r="375" spans="1:13" x14ac:dyDescent="0.3">
      <c r="A375" t="s">
        <v>681</v>
      </c>
      <c r="B375" s="3" t="s">
        <v>682</v>
      </c>
      <c r="C375" t="s">
        <v>23</v>
      </c>
      <c r="D375" t="s">
        <v>31</v>
      </c>
      <c r="E375">
        <v>3</v>
      </c>
      <c r="F375" s="5">
        <v>25</v>
      </c>
      <c r="G375" s="9">
        <v>0</v>
      </c>
      <c r="H375" s="5">
        <v>75</v>
      </c>
      <c r="I375" s="5">
        <v>51</v>
      </c>
      <c r="J375" t="s">
        <v>28</v>
      </c>
      <c r="K375" t="s">
        <v>32</v>
      </c>
      <c r="L375" t="str">
        <f t="shared" si="10"/>
        <v>2025-09</v>
      </c>
      <c r="M375" s="9">
        <f t="shared" si="11"/>
        <v>0.68</v>
      </c>
    </row>
    <row r="376" spans="1:13" x14ac:dyDescent="0.3">
      <c r="A376" t="s">
        <v>683</v>
      </c>
      <c r="B376" s="3" t="s">
        <v>682</v>
      </c>
      <c r="C376" t="s">
        <v>13</v>
      </c>
      <c r="D376" t="s">
        <v>38</v>
      </c>
      <c r="E376">
        <v>9</v>
      </c>
      <c r="F376" s="5">
        <v>150</v>
      </c>
      <c r="G376" s="9">
        <v>0</v>
      </c>
      <c r="H376" s="5">
        <v>1350</v>
      </c>
      <c r="I376" s="5">
        <v>990</v>
      </c>
      <c r="J376" t="s">
        <v>28</v>
      </c>
      <c r="K376" t="s">
        <v>29</v>
      </c>
      <c r="L376" t="str">
        <f t="shared" si="10"/>
        <v>2025-09</v>
      </c>
      <c r="M376" s="9">
        <f t="shared" si="11"/>
        <v>0.73333333333333328</v>
      </c>
    </row>
    <row r="377" spans="1:13" x14ac:dyDescent="0.3">
      <c r="A377" t="s">
        <v>684</v>
      </c>
      <c r="B377" s="3" t="s">
        <v>685</v>
      </c>
      <c r="C377" t="s">
        <v>13</v>
      </c>
      <c r="D377" t="s">
        <v>41</v>
      </c>
      <c r="E377">
        <v>6</v>
      </c>
      <c r="F377" s="5">
        <v>450</v>
      </c>
      <c r="G377" s="9">
        <v>0.1</v>
      </c>
      <c r="H377" s="5">
        <v>2430</v>
      </c>
      <c r="I377" s="5">
        <v>1710</v>
      </c>
      <c r="J377" t="s">
        <v>44</v>
      </c>
      <c r="K377" t="s">
        <v>16</v>
      </c>
      <c r="L377" t="str">
        <f t="shared" si="10"/>
        <v>2025-10</v>
      </c>
      <c r="M377" s="9">
        <f t="shared" si="11"/>
        <v>0.70370370370370372</v>
      </c>
    </row>
    <row r="378" spans="1:13" x14ac:dyDescent="0.3">
      <c r="A378" t="s">
        <v>686</v>
      </c>
      <c r="B378" s="3" t="s">
        <v>687</v>
      </c>
      <c r="C378" t="s">
        <v>23</v>
      </c>
      <c r="D378" t="s">
        <v>24</v>
      </c>
      <c r="E378">
        <v>1</v>
      </c>
      <c r="F378" s="5">
        <v>10</v>
      </c>
      <c r="G378" s="9">
        <v>0</v>
      </c>
      <c r="H378" s="5">
        <v>10</v>
      </c>
      <c r="I378" s="5">
        <v>6</v>
      </c>
      <c r="J378" t="s">
        <v>15</v>
      </c>
      <c r="K378" t="s">
        <v>16</v>
      </c>
      <c r="L378" t="str">
        <f t="shared" si="10"/>
        <v>2025-10</v>
      </c>
      <c r="M378" s="9">
        <f t="shared" si="11"/>
        <v>0.6</v>
      </c>
    </row>
    <row r="379" spans="1:13" x14ac:dyDescent="0.3">
      <c r="A379" t="s">
        <v>688</v>
      </c>
      <c r="B379" s="3" t="s">
        <v>689</v>
      </c>
      <c r="C379" t="s">
        <v>13</v>
      </c>
      <c r="D379" t="s">
        <v>41</v>
      </c>
      <c r="E379">
        <v>9</v>
      </c>
      <c r="F379" s="5">
        <v>450</v>
      </c>
      <c r="G379" s="9">
        <v>0</v>
      </c>
      <c r="H379" s="5">
        <v>4050</v>
      </c>
      <c r="I379" s="5">
        <v>2970</v>
      </c>
      <c r="J379" t="s">
        <v>20</v>
      </c>
      <c r="K379" t="s">
        <v>29</v>
      </c>
      <c r="L379" t="str">
        <f t="shared" si="10"/>
        <v>2025-10</v>
      </c>
      <c r="M379" s="9">
        <f t="shared" si="11"/>
        <v>0.73333333333333328</v>
      </c>
    </row>
    <row r="380" spans="1:13" x14ac:dyDescent="0.3">
      <c r="A380" t="s">
        <v>690</v>
      </c>
      <c r="B380" s="3" t="s">
        <v>689</v>
      </c>
      <c r="C380" t="s">
        <v>23</v>
      </c>
      <c r="D380" t="s">
        <v>58</v>
      </c>
      <c r="E380">
        <v>3</v>
      </c>
      <c r="F380" s="5">
        <v>8</v>
      </c>
      <c r="G380" s="9">
        <v>0</v>
      </c>
      <c r="H380" s="5">
        <v>24</v>
      </c>
      <c r="I380" s="5">
        <v>15</v>
      </c>
      <c r="J380" t="s">
        <v>20</v>
      </c>
      <c r="K380" t="s">
        <v>16</v>
      </c>
      <c r="L380" t="str">
        <f t="shared" si="10"/>
        <v>2025-10</v>
      </c>
      <c r="M380" s="9">
        <f t="shared" si="11"/>
        <v>0.625</v>
      </c>
    </row>
    <row r="381" spans="1:13" x14ac:dyDescent="0.3">
      <c r="A381" t="s">
        <v>691</v>
      </c>
      <c r="B381" s="3" t="s">
        <v>692</v>
      </c>
      <c r="C381" t="s">
        <v>18</v>
      </c>
      <c r="D381" t="s">
        <v>128</v>
      </c>
      <c r="E381">
        <v>7</v>
      </c>
      <c r="F381" s="5">
        <v>350</v>
      </c>
      <c r="G381" s="9">
        <v>0</v>
      </c>
      <c r="H381" s="5">
        <v>2450</v>
      </c>
      <c r="I381" s="5">
        <v>1820</v>
      </c>
      <c r="J381" t="s">
        <v>20</v>
      </c>
      <c r="K381" t="s">
        <v>32</v>
      </c>
      <c r="L381" t="str">
        <f t="shared" si="10"/>
        <v>2025-10</v>
      </c>
      <c r="M381" s="9">
        <f t="shared" si="11"/>
        <v>0.74285714285714288</v>
      </c>
    </row>
    <row r="382" spans="1:13" x14ac:dyDescent="0.3">
      <c r="A382" t="s">
        <v>693</v>
      </c>
      <c r="B382" s="3" t="s">
        <v>694</v>
      </c>
      <c r="C382" t="s">
        <v>18</v>
      </c>
      <c r="D382" t="s">
        <v>27</v>
      </c>
      <c r="E382">
        <v>4</v>
      </c>
      <c r="F382" s="5">
        <v>80</v>
      </c>
      <c r="G382" s="9">
        <v>0.15</v>
      </c>
      <c r="H382" s="5">
        <v>272</v>
      </c>
      <c r="I382" s="5">
        <v>152</v>
      </c>
      <c r="J382" t="s">
        <v>15</v>
      </c>
      <c r="K382" t="s">
        <v>16</v>
      </c>
      <c r="L382" t="str">
        <f t="shared" si="10"/>
        <v>2025-10</v>
      </c>
      <c r="M382" s="9">
        <f t="shared" si="11"/>
        <v>0.55882352941176472</v>
      </c>
    </row>
    <row r="383" spans="1:13" x14ac:dyDescent="0.3">
      <c r="A383" t="s">
        <v>695</v>
      </c>
      <c r="B383" s="3" t="s">
        <v>694</v>
      </c>
      <c r="C383" t="s">
        <v>18</v>
      </c>
      <c r="D383" t="s">
        <v>77</v>
      </c>
      <c r="E383">
        <v>5</v>
      </c>
      <c r="F383" s="5">
        <v>1200</v>
      </c>
      <c r="G383" s="9">
        <v>0</v>
      </c>
      <c r="H383" s="5">
        <v>6000</v>
      </c>
      <c r="I383" s="5">
        <v>4500</v>
      </c>
      <c r="J383" t="s">
        <v>20</v>
      </c>
      <c r="K383" t="s">
        <v>32</v>
      </c>
      <c r="L383" t="str">
        <f t="shared" si="10"/>
        <v>2025-10</v>
      </c>
      <c r="M383" s="9">
        <f t="shared" si="11"/>
        <v>0.75</v>
      </c>
    </row>
    <row r="384" spans="1:13" x14ac:dyDescent="0.3">
      <c r="A384" t="s">
        <v>696</v>
      </c>
      <c r="B384" s="3" t="s">
        <v>697</v>
      </c>
      <c r="C384" t="s">
        <v>18</v>
      </c>
      <c r="D384" t="s">
        <v>77</v>
      </c>
      <c r="E384">
        <v>3</v>
      </c>
      <c r="F384" s="5">
        <v>1200</v>
      </c>
      <c r="G384" s="9">
        <v>0</v>
      </c>
      <c r="H384" s="5">
        <v>3600</v>
      </c>
      <c r="I384" s="5">
        <v>2700</v>
      </c>
      <c r="J384" t="s">
        <v>28</v>
      </c>
      <c r="K384" t="s">
        <v>29</v>
      </c>
      <c r="L384" t="str">
        <f t="shared" si="10"/>
        <v>2025-10</v>
      </c>
      <c r="M384" s="9">
        <f t="shared" si="11"/>
        <v>0.75</v>
      </c>
    </row>
    <row r="385" spans="1:13" x14ac:dyDescent="0.3">
      <c r="A385" t="s">
        <v>698</v>
      </c>
      <c r="B385" s="3" t="s">
        <v>699</v>
      </c>
      <c r="C385" t="s">
        <v>23</v>
      </c>
      <c r="D385" t="s">
        <v>58</v>
      </c>
      <c r="E385">
        <v>7</v>
      </c>
      <c r="F385" s="5">
        <v>8</v>
      </c>
      <c r="G385" s="9">
        <v>0</v>
      </c>
      <c r="H385" s="5">
        <v>56</v>
      </c>
      <c r="I385" s="5">
        <v>35</v>
      </c>
      <c r="J385" t="s">
        <v>44</v>
      </c>
      <c r="K385" t="s">
        <v>16</v>
      </c>
      <c r="L385" t="str">
        <f t="shared" si="10"/>
        <v>2025-10</v>
      </c>
      <c r="M385" s="9">
        <f t="shared" si="11"/>
        <v>0.625</v>
      </c>
    </row>
    <row r="386" spans="1:13" x14ac:dyDescent="0.3">
      <c r="A386" t="s">
        <v>700</v>
      </c>
      <c r="B386" s="3" t="s">
        <v>701</v>
      </c>
      <c r="C386" t="s">
        <v>18</v>
      </c>
      <c r="D386" t="s">
        <v>19</v>
      </c>
      <c r="E386">
        <v>8</v>
      </c>
      <c r="F386" s="5">
        <v>40</v>
      </c>
      <c r="G386" s="9">
        <v>0</v>
      </c>
      <c r="H386" s="5">
        <v>320</v>
      </c>
      <c r="I386" s="5">
        <v>200</v>
      </c>
      <c r="J386" t="s">
        <v>44</v>
      </c>
      <c r="K386" t="s">
        <v>32</v>
      </c>
      <c r="L386" t="str">
        <f t="shared" si="10"/>
        <v>2025-10</v>
      </c>
      <c r="M386" s="9">
        <f t="shared" si="11"/>
        <v>0.625</v>
      </c>
    </row>
    <row r="387" spans="1:13" x14ac:dyDescent="0.3">
      <c r="A387" t="s">
        <v>702</v>
      </c>
      <c r="B387" s="3" t="s">
        <v>701</v>
      </c>
      <c r="C387" t="s">
        <v>13</v>
      </c>
      <c r="D387" t="s">
        <v>51</v>
      </c>
      <c r="E387">
        <v>9</v>
      </c>
      <c r="F387" s="5">
        <v>250</v>
      </c>
      <c r="G387" s="9">
        <v>0</v>
      </c>
      <c r="H387" s="5">
        <v>2250</v>
      </c>
      <c r="I387" s="5">
        <v>1620</v>
      </c>
      <c r="J387" t="s">
        <v>15</v>
      </c>
      <c r="K387" t="s">
        <v>32</v>
      </c>
      <c r="L387" t="str">
        <f t="shared" ref="L387:L450" si="12">TEXT(B387, "YYYY-MM")</f>
        <v>2025-10</v>
      </c>
      <c r="M387" s="9">
        <f t="shared" ref="M387:M450" si="13">I387/H387</f>
        <v>0.72</v>
      </c>
    </row>
    <row r="388" spans="1:13" x14ac:dyDescent="0.3">
      <c r="A388" t="s">
        <v>703</v>
      </c>
      <c r="B388" s="3" t="s">
        <v>704</v>
      </c>
      <c r="C388" t="s">
        <v>18</v>
      </c>
      <c r="D388" t="s">
        <v>77</v>
      </c>
      <c r="E388">
        <v>3</v>
      </c>
      <c r="F388" s="5">
        <v>1200</v>
      </c>
      <c r="G388" s="9">
        <v>0.2</v>
      </c>
      <c r="H388" s="5">
        <v>2880</v>
      </c>
      <c r="I388" s="5">
        <v>1980</v>
      </c>
      <c r="J388" t="s">
        <v>28</v>
      </c>
      <c r="K388" t="s">
        <v>29</v>
      </c>
      <c r="L388" t="str">
        <f t="shared" si="12"/>
        <v>2025-10</v>
      </c>
      <c r="M388" s="9">
        <f t="shared" si="13"/>
        <v>0.6875</v>
      </c>
    </row>
    <row r="389" spans="1:13" x14ac:dyDescent="0.3">
      <c r="A389" t="s">
        <v>705</v>
      </c>
      <c r="B389" s="3" t="s">
        <v>706</v>
      </c>
      <c r="C389" t="s">
        <v>23</v>
      </c>
      <c r="D389" t="s">
        <v>31</v>
      </c>
      <c r="E389">
        <v>7</v>
      </c>
      <c r="F389" s="5">
        <v>25</v>
      </c>
      <c r="G389" s="9">
        <v>0.05</v>
      </c>
      <c r="H389" s="5">
        <v>166.25</v>
      </c>
      <c r="I389" s="5">
        <v>110.25</v>
      </c>
      <c r="J389" t="s">
        <v>20</v>
      </c>
      <c r="K389" t="s">
        <v>29</v>
      </c>
      <c r="L389" t="str">
        <f t="shared" si="12"/>
        <v>2025-10</v>
      </c>
      <c r="M389" s="9">
        <f t="shared" si="13"/>
        <v>0.66315789473684206</v>
      </c>
    </row>
    <row r="390" spans="1:13" x14ac:dyDescent="0.3">
      <c r="A390" t="s">
        <v>707</v>
      </c>
      <c r="B390" s="3" t="s">
        <v>708</v>
      </c>
      <c r="C390" t="s">
        <v>13</v>
      </c>
      <c r="D390" t="s">
        <v>38</v>
      </c>
      <c r="E390">
        <v>4</v>
      </c>
      <c r="F390" s="5">
        <v>150</v>
      </c>
      <c r="G390" s="9">
        <v>0</v>
      </c>
      <c r="H390" s="5">
        <v>600</v>
      </c>
      <c r="I390" s="5">
        <v>440</v>
      </c>
      <c r="J390" t="s">
        <v>20</v>
      </c>
      <c r="K390" t="s">
        <v>29</v>
      </c>
      <c r="L390" t="str">
        <f t="shared" si="12"/>
        <v>2025-10</v>
      </c>
      <c r="M390" s="9">
        <f t="shared" si="13"/>
        <v>0.73333333333333328</v>
      </c>
    </row>
    <row r="391" spans="1:13" x14ac:dyDescent="0.3">
      <c r="A391" t="s">
        <v>709</v>
      </c>
      <c r="B391" s="3" t="s">
        <v>708</v>
      </c>
      <c r="C391" t="s">
        <v>18</v>
      </c>
      <c r="D391" t="s">
        <v>77</v>
      </c>
      <c r="E391">
        <v>1</v>
      </c>
      <c r="F391" s="5">
        <v>1200</v>
      </c>
      <c r="G391" s="9">
        <v>0</v>
      </c>
      <c r="H391" s="5">
        <v>1200</v>
      </c>
      <c r="I391" s="5">
        <v>900</v>
      </c>
      <c r="J391" t="s">
        <v>44</v>
      </c>
      <c r="K391" t="s">
        <v>29</v>
      </c>
      <c r="L391" t="str">
        <f t="shared" si="12"/>
        <v>2025-10</v>
      </c>
      <c r="M391" s="9">
        <f t="shared" si="13"/>
        <v>0.75</v>
      </c>
    </row>
    <row r="392" spans="1:13" x14ac:dyDescent="0.3">
      <c r="A392" t="s">
        <v>710</v>
      </c>
      <c r="B392" s="3" t="s">
        <v>711</v>
      </c>
      <c r="C392" t="s">
        <v>18</v>
      </c>
      <c r="D392" t="s">
        <v>27</v>
      </c>
      <c r="E392">
        <v>9</v>
      </c>
      <c r="F392" s="5">
        <v>80</v>
      </c>
      <c r="G392" s="9">
        <v>0</v>
      </c>
      <c r="H392" s="5">
        <v>720</v>
      </c>
      <c r="I392" s="5">
        <v>450</v>
      </c>
      <c r="J392" t="s">
        <v>28</v>
      </c>
      <c r="K392" t="s">
        <v>32</v>
      </c>
      <c r="L392" t="str">
        <f t="shared" si="12"/>
        <v>2025-10</v>
      </c>
      <c r="M392" s="9">
        <f t="shared" si="13"/>
        <v>0.625</v>
      </c>
    </row>
    <row r="393" spans="1:13" x14ac:dyDescent="0.3">
      <c r="A393" t="s">
        <v>712</v>
      </c>
      <c r="B393" s="3" t="s">
        <v>713</v>
      </c>
      <c r="C393" t="s">
        <v>23</v>
      </c>
      <c r="D393" t="s">
        <v>35</v>
      </c>
      <c r="E393">
        <v>8</v>
      </c>
      <c r="F393" s="5">
        <v>15</v>
      </c>
      <c r="G393" s="9">
        <v>0</v>
      </c>
      <c r="H393" s="5">
        <v>120</v>
      </c>
      <c r="I393" s="5">
        <v>80</v>
      </c>
      <c r="J393" t="s">
        <v>15</v>
      </c>
      <c r="K393" t="s">
        <v>16</v>
      </c>
      <c r="L393" t="str">
        <f t="shared" si="12"/>
        <v>2025-10</v>
      </c>
      <c r="M393" s="9">
        <f t="shared" si="13"/>
        <v>0.66666666666666663</v>
      </c>
    </row>
    <row r="394" spans="1:13" x14ac:dyDescent="0.3">
      <c r="A394" t="s">
        <v>714</v>
      </c>
      <c r="B394" s="3" t="s">
        <v>713</v>
      </c>
      <c r="C394" t="s">
        <v>23</v>
      </c>
      <c r="D394" t="s">
        <v>43</v>
      </c>
      <c r="E394">
        <v>3</v>
      </c>
      <c r="F394" s="5">
        <v>20</v>
      </c>
      <c r="G394" s="9">
        <v>0</v>
      </c>
      <c r="H394" s="5">
        <v>60</v>
      </c>
      <c r="I394" s="5">
        <v>39</v>
      </c>
      <c r="J394" t="s">
        <v>20</v>
      </c>
      <c r="K394" t="s">
        <v>29</v>
      </c>
      <c r="L394" t="str">
        <f t="shared" si="12"/>
        <v>2025-10</v>
      </c>
      <c r="M394" s="9">
        <f t="shared" si="13"/>
        <v>0.65</v>
      </c>
    </row>
    <row r="395" spans="1:13" x14ac:dyDescent="0.3">
      <c r="A395" t="s">
        <v>715</v>
      </c>
      <c r="B395" s="3" t="s">
        <v>716</v>
      </c>
      <c r="C395" t="s">
        <v>23</v>
      </c>
      <c r="D395" t="s">
        <v>43</v>
      </c>
      <c r="E395">
        <v>5</v>
      </c>
      <c r="F395" s="5">
        <v>20</v>
      </c>
      <c r="G395" s="9">
        <v>0.05</v>
      </c>
      <c r="H395" s="5">
        <v>95</v>
      </c>
      <c r="I395" s="5">
        <v>60</v>
      </c>
      <c r="J395" t="s">
        <v>15</v>
      </c>
      <c r="K395" t="s">
        <v>16</v>
      </c>
      <c r="L395" t="str">
        <f t="shared" si="12"/>
        <v>2025-10</v>
      </c>
      <c r="M395" s="9">
        <f t="shared" si="13"/>
        <v>0.63157894736842102</v>
      </c>
    </row>
    <row r="396" spans="1:13" x14ac:dyDescent="0.3">
      <c r="A396" t="s">
        <v>717</v>
      </c>
      <c r="B396" s="3" t="s">
        <v>718</v>
      </c>
      <c r="C396" t="s">
        <v>23</v>
      </c>
      <c r="D396" t="s">
        <v>43</v>
      </c>
      <c r="E396">
        <v>3</v>
      </c>
      <c r="F396" s="5">
        <v>20</v>
      </c>
      <c r="G396" s="9">
        <v>0.1</v>
      </c>
      <c r="H396" s="5">
        <v>54</v>
      </c>
      <c r="I396" s="5">
        <v>33</v>
      </c>
      <c r="J396" t="s">
        <v>28</v>
      </c>
      <c r="K396" t="s">
        <v>29</v>
      </c>
      <c r="L396" t="str">
        <f t="shared" si="12"/>
        <v>2025-10</v>
      </c>
      <c r="M396" s="9">
        <f t="shared" si="13"/>
        <v>0.61111111111111116</v>
      </c>
    </row>
    <row r="397" spans="1:13" x14ac:dyDescent="0.3">
      <c r="A397" t="s">
        <v>719</v>
      </c>
      <c r="B397" s="3" t="s">
        <v>720</v>
      </c>
      <c r="C397" t="s">
        <v>13</v>
      </c>
      <c r="D397" t="s">
        <v>67</v>
      </c>
      <c r="E397">
        <v>6</v>
      </c>
      <c r="F397" s="5">
        <v>35</v>
      </c>
      <c r="G397" s="9">
        <v>0</v>
      </c>
      <c r="H397" s="5">
        <v>210</v>
      </c>
      <c r="I397" s="5">
        <v>138</v>
      </c>
      <c r="J397" t="s">
        <v>20</v>
      </c>
      <c r="K397" t="s">
        <v>29</v>
      </c>
      <c r="L397" t="str">
        <f t="shared" si="12"/>
        <v>2025-10</v>
      </c>
      <c r="M397" s="9">
        <f t="shared" si="13"/>
        <v>0.65714285714285714</v>
      </c>
    </row>
    <row r="398" spans="1:13" x14ac:dyDescent="0.3">
      <c r="A398" t="s">
        <v>721</v>
      </c>
      <c r="B398" s="3" t="s">
        <v>720</v>
      </c>
      <c r="C398" t="s">
        <v>23</v>
      </c>
      <c r="D398" t="s">
        <v>31</v>
      </c>
      <c r="E398">
        <v>6</v>
      </c>
      <c r="F398" s="5">
        <v>25</v>
      </c>
      <c r="G398" s="9">
        <v>0.05</v>
      </c>
      <c r="H398" s="5">
        <v>142.5</v>
      </c>
      <c r="I398" s="5">
        <v>94.5</v>
      </c>
      <c r="J398" t="s">
        <v>20</v>
      </c>
      <c r="K398" t="s">
        <v>29</v>
      </c>
      <c r="L398" t="str">
        <f t="shared" si="12"/>
        <v>2025-10</v>
      </c>
      <c r="M398" s="9">
        <f t="shared" si="13"/>
        <v>0.66315789473684206</v>
      </c>
    </row>
    <row r="399" spans="1:13" x14ac:dyDescent="0.3">
      <c r="A399" t="s">
        <v>722</v>
      </c>
      <c r="B399" s="3" t="s">
        <v>723</v>
      </c>
      <c r="C399" t="s">
        <v>23</v>
      </c>
      <c r="D399" t="s">
        <v>43</v>
      </c>
      <c r="E399">
        <v>7</v>
      </c>
      <c r="F399" s="5">
        <v>20</v>
      </c>
      <c r="G399" s="9">
        <v>0.05</v>
      </c>
      <c r="H399" s="5">
        <v>133</v>
      </c>
      <c r="I399" s="5">
        <v>84</v>
      </c>
      <c r="J399" t="s">
        <v>15</v>
      </c>
      <c r="K399" t="s">
        <v>16</v>
      </c>
      <c r="L399" t="str">
        <f t="shared" si="12"/>
        <v>2025-10</v>
      </c>
      <c r="M399" s="9">
        <f t="shared" si="13"/>
        <v>0.63157894736842102</v>
      </c>
    </row>
    <row r="400" spans="1:13" x14ac:dyDescent="0.3">
      <c r="A400" t="s">
        <v>724</v>
      </c>
      <c r="B400" s="3" t="s">
        <v>725</v>
      </c>
      <c r="C400" t="s">
        <v>13</v>
      </c>
      <c r="D400" t="s">
        <v>67</v>
      </c>
      <c r="E400">
        <v>2</v>
      </c>
      <c r="F400" s="5">
        <v>35</v>
      </c>
      <c r="G400" s="9">
        <v>0</v>
      </c>
      <c r="H400" s="5">
        <v>70</v>
      </c>
      <c r="I400" s="5">
        <v>46</v>
      </c>
      <c r="J400" t="s">
        <v>44</v>
      </c>
      <c r="K400" t="s">
        <v>32</v>
      </c>
      <c r="L400" t="str">
        <f t="shared" si="12"/>
        <v>2025-10</v>
      </c>
      <c r="M400" s="9">
        <f t="shared" si="13"/>
        <v>0.65714285714285714</v>
      </c>
    </row>
    <row r="401" spans="1:13" x14ac:dyDescent="0.3">
      <c r="A401" t="s">
        <v>726</v>
      </c>
      <c r="B401" s="3" t="s">
        <v>727</v>
      </c>
      <c r="C401" t="s">
        <v>18</v>
      </c>
      <c r="D401" t="s">
        <v>77</v>
      </c>
      <c r="E401">
        <v>2</v>
      </c>
      <c r="F401" s="5">
        <v>1200</v>
      </c>
      <c r="G401" s="9">
        <v>0</v>
      </c>
      <c r="H401" s="5">
        <v>2400</v>
      </c>
      <c r="I401" s="5">
        <v>1800</v>
      </c>
      <c r="J401" t="s">
        <v>44</v>
      </c>
      <c r="K401" t="s">
        <v>16</v>
      </c>
      <c r="L401" t="str">
        <f t="shared" si="12"/>
        <v>2025-10</v>
      </c>
      <c r="M401" s="9">
        <f t="shared" si="13"/>
        <v>0.75</v>
      </c>
    </row>
    <row r="402" spans="1:13" x14ac:dyDescent="0.3">
      <c r="A402" t="s">
        <v>728</v>
      </c>
      <c r="B402" s="3" t="s">
        <v>727</v>
      </c>
      <c r="C402" t="s">
        <v>18</v>
      </c>
      <c r="D402" t="s">
        <v>128</v>
      </c>
      <c r="E402">
        <v>1</v>
      </c>
      <c r="F402" s="5">
        <v>350</v>
      </c>
      <c r="G402" s="9">
        <v>0</v>
      </c>
      <c r="H402" s="5">
        <v>350</v>
      </c>
      <c r="I402" s="5">
        <v>260</v>
      </c>
      <c r="J402" t="s">
        <v>44</v>
      </c>
      <c r="K402" t="s">
        <v>29</v>
      </c>
      <c r="L402" t="str">
        <f t="shared" si="12"/>
        <v>2025-10</v>
      </c>
      <c r="M402" s="9">
        <f t="shared" si="13"/>
        <v>0.74285714285714288</v>
      </c>
    </row>
    <row r="403" spans="1:13" x14ac:dyDescent="0.3">
      <c r="A403" t="s">
        <v>729</v>
      </c>
      <c r="B403" s="3" t="s">
        <v>730</v>
      </c>
      <c r="C403" t="s">
        <v>13</v>
      </c>
      <c r="D403" t="s">
        <v>14</v>
      </c>
      <c r="E403">
        <v>4</v>
      </c>
      <c r="F403" s="5">
        <v>110</v>
      </c>
      <c r="G403" s="9">
        <v>0</v>
      </c>
      <c r="H403" s="5">
        <v>440</v>
      </c>
      <c r="I403" s="5">
        <v>320</v>
      </c>
      <c r="J403" t="s">
        <v>44</v>
      </c>
      <c r="K403" t="s">
        <v>16</v>
      </c>
      <c r="L403" t="str">
        <f t="shared" si="12"/>
        <v>2025-10</v>
      </c>
      <c r="M403" s="9">
        <f t="shared" si="13"/>
        <v>0.72727272727272729</v>
      </c>
    </row>
    <row r="404" spans="1:13" x14ac:dyDescent="0.3">
      <c r="A404" t="s">
        <v>731</v>
      </c>
      <c r="B404" s="3" t="s">
        <v>732</v>
      </c>
      <c r="C404" t="s">
        <v>18</v>
      </c>
      <c r="D404" t="s">
        <v>27</v>
      </c>
      <c r="E404">
        <v>4</v>
      </c>
      <c r="F404" s="5">
        <v>80</v>
      </c>
      <c r="G404" s="9">
        <v>0</v>
      </c>
      <c r="H404" s="5">
        <v>320</v>
      </c>
      <c r="I404" s="5">
        <v>200</v>
      </c>
      <c r="J404" t="s">
        <v>44</v>
      </c>
      <c r="K404" t="s">
        <v>32</v>
      </c>
      <c r="L404" t="str">
        <f t="shared" si="12"/>
        <v>2025-10</v>
      </c>
      <c r="M404" s="9">
        <f t="shared" si="13"/>
        <v>0.625</v>
      </c>
    </row>
    <row r="405" spans="1:13" x14ac:dyDescent="0.3">
      <c r="A405" t="s">
        <v>733</v>
      </c>
      <c r="B405" s="3" t="s">
        <v>732</v>
      </c>
      <c r="C405" t="s">
        <v>13</v>
      </c>
      <c r="D405" t="s">
        <v>41</v>
      </c>
      <c r="E405">
        <v>6</v>
      </c>
      <c r="F405" s="5">
        <v>450</v>
      </c>
      <c r="G405" s="9">
        <v>0.15</v>
      </c>
      <c r="H405" s="5">
        <v>2295</v>
      </c>
      <c r="I405" s="5">
        <v>1575</v>
      </c>
      <c r="J405" t="s">
        <v>44</v>
      </c>
      <c r="K405" t="s">
        <v>16</v>
      </c>
      <c r="L405" t="str">
        <f t="shared" si="12"/>
        <v>2025-10</v>
      </c>
      <c r="M405" s="9">
        <f t="shared" si="13"/>
        <v>0.68627450980392157</v>
      </c>
    </row>
    <row r="406" spans="1:13" x14ac:dyDescent="0.3">
      <c r="A406" t="s">
        <v>734</v>
      </c>
      <c r="B406" s="3" t="s">
        <v>735</v>
      </c>
      <c r="C406" t="s">
        <v>13</v>
      </c>
      <c r="D406" t="s">
        <v>14</v>
      </c>
      <c r="E406">
        <v>3</v>
      </c>
      <c r="F406" s="5">
        <v>110</v>
      </c>
      <c r="G406" s="9">
        <v>0.15</v>
      </c>
      <c r="H406" s="5">
        <v>280.5</v>
      </c>
      <c r="I406" s="5">
        <v>190.5</v>
      </c>
      <c r="J406" t="s">
        <v>20</v>
      </c>
      <c r="K406" t="s">
        <v>16</v>
      </c>
      <c r="L406" t="str">
        <f t="shared" si="12"/>
        <v>2025-10</v>
      </c>
      <c r="M406" s="9">
        <f t="shared" si="13"/>
        <v>0.67914438502673802</v>
      </c>
    </row>
    <row r="407" spans="1:13" x14ac:dyDescent="0.3">
      <c r="A407" t="s">
        <v>736</v>
      </c>
      <c r="B407" s="3" t="s">
        <v>737</v>
      </c>
      <c r="C407" t="s">
        <v>23</v>
      </c>
      <c r="D407" t="s">
        <v>58</v>
      </c>
      <c r="E407">
        <v>1</v>
      </c>
      <c r="F407" s="5">
        <v>8</v>
      </c>
      <c r="G407" s="9">
        <v>0</v>
      </c>
      <c r="H407" s="5">
        <v>8</v>
      </c>
      <c r="I407" s="5">
        <v>5</v>
      </c>
      <c r="J407" t="s">
        <v>20</v>
      </c>
      <c r="K407" t="s">
        <v>32</v>
      </c>
      <c r="L407" t="str">
        <f t="shared" si="12"/>
        <v>2025-10</v>
      </c>
      <c r="M407" s="9">
        <f t="shared" si="13"/>
        <v>0.625</v>
      </c>
    </row>
    <row r="408" spans="1:13" x14ac:dyDescent="0.3">
      <c r="A408" t="s">
        <v>738</v>
      </c>
      <c r="B408" s="3" t="s">
        <v>739</v>
      </c>
      <c r="C408" t="s">
        <v>23</v>
      </c>
      <c r="D408" t="s">
        <v>31</v>
      </c>
      <c r="E408">
        <v>1</v>
      </c>
      <c r="F408" s="5">
        <v>25</v>
      </c>
      <c r="G408" s="9">
        <v>0.1</v>
      </c>
      <c r="H408" s="5">
        <v>22.5</v>
      </c>
      <c r="I408" s="5">
        <v>14.5</v>
      </c>
      <c r="J408" t="s">
        <v>28</v>
      </c>
      <c r="K408" t="s">
        <v>32</v>
      </c>
      <c r="L408" t="str">
        <f t="shared" si="12"/>
        <v>2025-10</v>
      </c>
      <c r="M408" s="9">
        <f t="shared" si="13"/>
        <v>0.64444444444444449</v>
      </c>
    </row>
    <row r="409" spans="1:13" x14ac:dyDescent="0.3">
      <c r="A409" t="s">
        <v>740</v>
      </c>
      <c r="B409" s="3" t="s">
        <v>739</v>
      </c>
      <c r="C409" t="s">
        <v>18</v>
      </c>
      <c r="D409" t="s">
        <v>27</v>
      </c>
      <c r="E409">
        <v>7</v>
      </c>
      <c r="F409" s="5">
        <v>80</v>
      </c>
      <c r="G409" s="9">
        <v>0.1</v>
      </c>
      <c r="H409" s="5">
        <v>504</v>
      </c>
      <c r="I409" s="5">
        <v>294</v>
      </c>
      <c r="J409" t="s">
        <v>28</v>
      </c>
      <c r="K409" t="s">
        <v>16</v>
      </c>
      <c r="L409" t="str">
        <f t="shared" si="12"/>
        <v>2025-10</v>
      </c>
      <c r="M409" s="9">
        <f t="shared" si="13"/>
        <v>0.58333333333333337</v>
      </c>
    </row>
    <row r="410" spans="1:13" x14ac:dyDescent="0.3">
      <c r="A410" t="s">
        <v>741</v>
      </c>
      <c r="B410" s="3" t="s">
        <v>742</v>
      </c>
      <c r="C410" t="s">
        <v>23</v>
      </c>
      <c r="D410" t="s">
        <v>24</v>
      </c>
      <c r="E410">
        <v>2</v>
      </c>
      <c r="F410" s="5">
        <v>10</v>
      </c>
      <c r="G410" s="9">
        <v>0.05</v>
      </c>
      <c r="H410" s="5">
        <v>19</v>
      </c>
      <c r="I410" s="5">
        <v>11</v>
      </c>
      <c r="J410" t="s">
        <v>28</v>
      </c>
      <c r="K410" t="s">
        <v>29</v>
      </c>
      <c r="L410" t="str">
        <f t="shared" si="12"/>
        <v>2025-10</v>
      </c>
      <c r="M410" s="9">
        <f t="shared" si="13"/>
        <v>0.57894736842105265</v>
      </c>
    </row>
    <row r="411" spans="1:13" x14ac:dyDescent="0.3">
      <c r="A411" t="s">
        <v>743</v>
      </c>
      <c r="B411" s="3" t="s">
        <v>744</v>
      </c>
      <c r="C411" t="s">
        <v>18</v>
      </c>
      <c r="D411" t="s">
        <v>128</v>
      </c>
      <c r="E411">
        <v>8</v>
      </c>
      <c r="F411" s="5">
        <v>350</v>
      </c>
      <c r="G411" s="9">
        <v>0.1</v>
      </c>
      <c r="H411" s="5">
        <v>2520</v>
      </c>
      <c r="I411" s="5">
        <v>1800</v>
      </c>
      <c r="J411" t="s">
        <v>15</v>
      </c>
      <c r="K411" t="s">
        <v>16</v>
      </c>
      <c r="L411" t="str">
        <f t="shared" si="12"/>
        <v>2025-10</v>
      </c>
      <c r="M411" s="9">
        <f t="shared" si="13"/>
        <v>0.7142857142857143</v>
      </c>
    </row>
    <row r="412" spans="1:13" x14ac:dyDescent="0.3">
      <c r="A412" t="s">
        <v>745</v>
      </c>
      <c r="B412" s="3" t="s">
        <v>746</v>
      </c>
      <c r="C412" t="s">
        <v>13</v>
      </c>
      <c r="D412" t="s">
        <v>41</v>
      </c>
      <c r="E412">
        <v>9</v>
      </c>
      <c r="F412" s="5">
        <v>450</v>
      </c>
      <c r="G412" s="9">
        <v>0.05</v>
      </c>
      <c r="H412" s="5">
        <v>3847.5</v>
      </c>
      <c r="I412" s="5">
        <v>2767.5</v>
      </c>
      <c r="J412" t="s">
        <v>28</v>
      </c>
      <c r="K412" t="s">
        <v>29</v>
      </c>
      <c r="L412" t="str">
        <f t="shared" si="12"/>
        <v>2025-10</v>
      </c>
      <c r="M412" s="9">
        <f t="shared" si="13"/>
        <v>0.7192982456140351</v>
      </c>
    </row>
    <row r="413" spans="1:13" x14ac:dyDescent="0.3">
      <c r="A413" t="s">
        <v>747</v>
      </c>
      <c r="B413" s="3" t="s">
        <v>746</v>
      </c>
      <c r="C413" t="s">
        <v>13</v>
      </c>
      <c r="D413" t="s">
        <v>38</v>
      </c>
      <c r="E413">
        <v>6</v>
      </c>
      <c r="F413" s="5">
        <v>150</v>
      </c>
      <c r="G413" s="9">
        <v>0</v>
      </c>
      <c r="H413" s="5">
        <v>900</v>
      </c>
      <c r="I413" s="5">
        <v>660</v>
      </c>
      <c r="J413" t="s">
        <v>15</v>
      </c>
      <c r="K413" t="s">
        <v>16</v>
      </c>
      <c r="L413" t="str">
        <f t="shared" si="12"/>
        <v>2025-10</v>
      </c>
      <c r="M413" s="9">
        <f t="shared" si="13"/>
        <v>0.73333333333333328</v>
      </c>
    </row>
    <row r="414" spans="1:13" x14ac:dyDescent="0.3">
      <c r="A414" t="s">
        <v>748</v>
      </c>
      <c r="B414" s="3" t="s">
        <v>749</v>
      </c>
      <c r="C414" t="s">
        <v>13</v>
      </c>
      <c r="D414" t="s">
        <v>14</v>
      </c>
      <c r="E414">
        <v>2</v>
      </c>
      <c r="F414" s="5">
        <v>110</v>
      </c>
      <c r="G414" s="9">
        <v>0.05</v>
      </c>
      <c r="H414" s="5">
        <v>209</v>
      </c>
      <c r="I414" s="5">
        <v>149</v>
      </c>
      <c r="J414" t="s">
        <v>28</v>
      </c>
      <c r="K414" t="s">
        <v>32</v>
      </c>
      <c r="L414" t="str">
        <f t="shared" si="12"/>
        <v>2025-10</v>
      </c>
      <c r="M414" s="9">
        <f t="shared" si="13"/>
        <v>0.71291866028708128</v>
      </c>
    </row>
    <row r="415" spans="1:13" x14ac:dyDescent="0.3">
      <c r="A415" t="s">
        <v>750</v>
      </c>
      <c r="B415" s="3" t="s">
        <v>751</v>
      </c>
      <c r="C415" t="s">
        <v>23</v>
      </c>
      <c r="D415" t="s">
        <v>35</v>
      </c>
      <c r="E415">
        <v>3</v>
      </c>
      <c r="F415" s="5">
        <v>15</v>
      </c>
      <c r="G415" s="9">
        <v>0</v>
      </c>
      <c r="H415" s="5">
        <v>45</v>
      </c>
      <c r="I415" s="5">
        <v>30</v>
      </c>
      <c r="J415" t="s">
        <v>15</v>
      </c>
      <c r="K415" t="s">
        <v>16</v>
      </c>
      <c r="L415" t="str">
        <f t="shared" si="12"/>
        <v>2025-10</v>
      </c>
      <c r="M415" s="9">
        <f t="shared" si="13"/>
        <v>0.66666666666666663</v>
      </c>
    </row>
    <row r="416" spans="1:13" x14ac:dyDescent="0.3">
      <c r="A416" t="s">
        <v>752</v>
      </c>
      <c r="B416" s="3" t="s">
        <v>751</v>
      </c>
      <c r="C416" t="s">
        <v>23</v>
      </c>
      <c r="D416" t="s">
        <v>35</v>
      </c>
      <c r="E416">
        <v>9</v>
      </c>
      <c r="F416" s="5">
        <v>15</v>
      </c>
      <c r="G416" s="9">
        <v>0.1</v>
      </c>
      <c r="H416" s="5">
        <v>121.5</v>
      </c>
      <c r="I416" s="5">
        <v>76.5</v>
      </c>
      <c r="J416" t="s">
        <v>20</v>
      </c>
      <c r="K416" t="s">
        <v>32</v>
      </c>
      <c r="L416" t="str">
        <f t="shared" si="12"/>
        <v>2025-10</v>
      </c>
      <c r="M416" s="9">
        <f t="shared" si="13"/>
        <v>0.62962962962962965</v>
      </c>
    </row>
    <row r="417" spans="1:13" x14ac:dyDescent="0.3">
      <c r="A417" t="s">
        <v>753</v>
      </c>
      <c r="B417" s="3" t="s">
        <v>754</v>
      </c>
      <c r="C417" t="s">
        <v>23</v>
      </c>
      <c r="D417" t="s">
        <v>24</v>
      </c>
      <c r="E417">
        <v>4</v>
      </c>
      <c r="F417" s="5">
        <v>10</v>
      </c>
      <c r="G417" s="9">
        <v>0.05</v>
      </c>
      <c r="H417" s="5">
        <v>38</v>
      </c>
      <c r="I417" s="5">
        <v>22</v>
      </c>
      <c r="J417" t="s">
        <v>15</v>
      </c>
      <c r="K417" t="s">
        <v>16</v>
      </c>
      <c r="L417" t="str">
        <f t="shared" si="12"/>
        <v>2025-10</v>
      </c>
      <c r="M417" s="9">
        <f t="shared" si="13"/>
        <v>0.57894736842105265</v>
      </c>
    </row>
    <row r="418" spans="1:13" x14ac:dyDescent="0.3">
      <c r="A418" t="s">
        <v>755</v>
      </c>
      <c r="B418" s="3" t="s">
        <v>756</v>
      </c>
      <c r="C418" t="s">
        <v>23</v>
      </c>
      <c r="D418" t="s">
        <v>43</v>
      </c>
      <c r="E418">
        <v>2</v>
      </c>
      <c r="F418" s="5">
        <v>20</v>
      </c>
      <c r="G418" s="9">
        <v>0</v>
      </c>
      <c r="H418" s="5">
        <v>40</v>
      </c>
      <c r="I418" s="5">
        <v>26</v>
      </c>
      <c r="J418" t="s">
        <v>44</v>
      </c>
      <c r="K418" t="s">
        <v>29</v>
      </c>
      <c r="L418" t="str">
        <f t="shared" si="12"/>
        <v>2025-10</v>
      </c>
      <c r="M418" s="9">
        <f t="shared" si="13"/>
        <v>0.65</v>
      </c>
    </row>
    <row r="419" spans="1:13" x14ac:dyDescent="0.3">
      <c r="A419" t="s">
        <v>757</v>
      </c>
      <c r="B419" s="3" t="s">
        <v>758</v>
      </c>
      <c r="C419" t="s">
        <v>23</v>
      </c>
      <c r="D419" t="s">
        <v>58</v>
      </c>
      <c r="E419">
        <v>9</v>
      </c>
      <c r="F419" s="5">
        <v>8</v>
      </c>
      <c r="G419" s="9">
        <v>0</v>
      </c>
      <c r="H419" s="5">
        <v>72</v>
      </c>
      <c r="I419" s="5">
        <v>45</v>
      </c>
      <c r="J419" t="s">
        <v>44</v>
      </c>
      <c r="K419" t="s">
        <v>29</v>
      </c>
      <c r="L419" t="str">
        <f t="shared" si="12"/>
        <v>2025-11</v>
      </c>
      <c r="M419" s="9">
        <f t="shared" si="13"/>
        <v>0.625</v>
      </c>
    </row>
    <row r="420" spans="1:13" x14ac:dyDescent="0.3">
      <c r="A420" t="s">
        <v>759</v>
      </c>
      <c r="B420" s="3" t="s">
        <v>758</v>
      </c>
      <c r="C420" t="s">
        <v>13</v>
      </c>
      <c r="D420" t="s">
        <v>67</v>
      </c>
      <c r="E420">
        <v>5</v>
      </c>
      <c r="F420" s="5">
        <v>35</v>
      </c>
      <c r="G420" s="9">
        <v>0.05</v>
      </c>
      <c r="H420" s="5">
        <v>166.25</v>
      </c>
      <c r="I420" s="5">
        <v>106.25</v>
      </c>
      <c r="J420" t="s">
        <v>15</v>
      </c>
      <c r="K420" t="s">
        <v>29</v>
      </c>
      <c r="L420" t="str">
        <f t="shared" si="12"/>
        <v>2025-11</v>
      </c>
      <c r="M420" s="9">
        <f t="shared" si="13"/>
        <v>0.63909774436090228</v>
      </c>
    </row>
    <row r="421" spans="1:13" x14ac:dyDescent="0.3">
      <c r="A421" t="s">
        <v>760</v>
      </c>
      <c r="B421" s="3" t="s">
        <v>761</v>
      </c>
      <c r="C421" t="s">
        <v>23</v>
      </c>
      <c r="D421" t="s">
        <v>58</v>
      </c>
      <c r="E421">
        <v>2</v>
      </c>
      <c r="F421" s="5">
        <v>8</v>
      </c>
      <c r="G421" s="9">
        <v>0.05</v>
      </c>
      <c r="H421" s="5">
        <v>15.2</v>
      </c>
      <c r="I421" s="5">
        <v>9.1999999999999993</v>
      </c>
      <c r="J421" t="s">
        <v>44</v>
      </c>
      <c r="K421" t="s">
        <v>16</v>
      </c>
      <c r="L421" t="str">
        <f t="shared" si="12"/>
        <v>2025-11</v>
      </c>
      <c r="M421" s="9">
        <f t="shared" si="13"/>
        <v>0.60526315789473684</v>
      </c>
    </row>
    <row r="422" spans="1:13" x14ac:dyDescent="0.3">
      <c r="A422" t="s">
        <v>762</v>
      </c>
      <c r="B422" s="3" t="s">
        <v>763</v>
      </c>
      <c r="C422" t="s">
        <v>13</v>
      </c>
      <c r="D422" t="s">
        <v>51</v>
      </c>
      <c r="E422">
        <v>1</v>
      </c>
      <c r="F422" s="5">
        <v>250</v>
      </c>
      <c r="G422" s="9">
        <v>0.05</v>
      </c>
      <c r="H422" s="5">
        <v>237.5</v>
      </c>
      <c r="I422" s="5">
        <v>167.5</v>
      </c>
      <c r="J422" t="s">
        <v>20</v>
      </c>
      <c r="K422" t="s">
        <v>16</v>
      </c>
      <c r="L422" t="str">
        <f t="shared" si="12"/>
        <v>2025-11</v>
      </c>
      <c r="M422" s="9">
        <f t="shared" si="13"/>
        <v>0.70526315789473681</v>
      </c>
    </row>
    <row r="423" spans="1:13" x14ac:dyDescent="0.3">
      <c r="A423" t="s">
        <v>764</v>
      </c>
      <c r="B423" s="3" t="s">
        <v>765</v>
      </c>
      <c r="C423" t="s">
        <v>18</v>
      </c>
      <c r="D423" t="s">
        <v>128</v>
      </c>
      <c r="E423">
        <v>6</v>
      </c>
      <c r="F423" s="5">
        <v>350</v>
      </c>
      <c r="G423" s="9">
        <v>0</v>
      </c>
      <c r="H423" s="5">
        <v>2100</v>
      </c>
      <c r="I423" s="5">
        <v>1560</v>
      </c>
      <c r="J423" t="s">
        <v>20</v>
      </c>
      <c r="K423" t="s">
        <v>16</v>
      </c>
      <c r="L423" t="str">
        <f t="shared" si="12"/>
        <v>2025-11</v>
      </c>
      <c r="M423" s="9">
        <f t="shared" si="13"/>
        <v>0.74285714285714288</v>
      </c>
    </row>
    <row r="424" spans="1:13" x14ac:dyDescent="0.3">
      <c r="A424" t="s">
        <v>766</v>
      </c>
      <c r="B424" s="3" t="s">
        <v>765</v>
      </c>
      <c r="C424" t="s">
        <v>13</v>
      </c>
      <c r="D424" t="s">
        <v>38</v>
      </c>
      <c r="E424">
        <v>3</v>
      </c>
      <c r="F424" s="5">
        <v>150</v>
      </c>
      <c r="G424" s="9">
        <v>0.2</v>
      </c>
      <c r="H424" s="5">
        <v>360</v>
      </c>
      <c r="I424" s="5">
        <v>240</v>
      </c>
      <c r="J424" t="s">
        <v>44</v>
      </c>
      <c r="K424" t="s">
        <v>16</v>
      </c>
      <c r="L424" t="str">
        <f t="shared" si="12"/>
        <v>2025-11</v>
      </c>
      <c r="M424" s="9">
        <f t="shared" si="13"/>
        <v>0.66666666666666663</v>
      </c>
    </row>
    <row r="425" spans="1:13" x14ac:dyDescent="0.3">
      <c r="A425" t="s">
        <v>767</v>
      </c>
      <c r="B425" s="3" t="s">
        <v>768</v>
      </c>
      <c r="C425" t="s">
        <v>18</v>
      </c>
      <c r="D425" t="s">
        <v>27</v>
      </c>
      <c r="E425">
        <v>3</v>
      </c>
      <c r="F425" s="5">
        <v>80</v>
      </c>
      <c r="G425" s="9">
        <v>0</v>
      </c>
      <c r="H425" s="5">
        <v>240</v>
      </c>
      <c r="I425" s="5">
        <v>150</v>
      </c>
      <c r="J425" t="s">
        <v>20</v>
      </c>
      <c r="K425" t="s">
        <v>29</v>
      </c>
      <c r="L425" t="str">
        <f t="shared" si="12"/>
        <v>2025-11</v>
      </c>
      <c r="M425" s="9">
        <f t="shared" si="13"/>
        <v>0.625</v>
      </c>
    </row>
    <row r="426" spans="1:13" x14ac:dyDescent="0.3">
      <c r="A426" t="s">
        <v>769</v>
      </c>
      <c r="B426" s="3" t="s">
        <v>770</v>
      </c>
      <c r="C426" t="s">
        <v>18</v>
      </c>
      <c r="D426" t="s">
        <v>19</v>
      </c>
      <c r="E426">
        <v>5</v>
      </c>
      <c r="F426" s="5">
        <v>40</v>
      </c>
      <c r="G426" s="9">
        <v>0.2</v>
      </c>
      <c r="H426" s="5">
        <v>160</v>
      </c>
      <c r="I426" s="5">
        <v>85</v>
      </c>
      <c r="J426" t="s">
        <v>44</v>
      </c>
      <c r="K426" t="s">
        <v>32</v>
      </c>
      <c r="L426" t="str">
        <f t="shared" si="12"/>
        <v>2025-11</v>
      </c>
      <c r="M426" s="9">
        <f t="shared" si="13"/>
        <v>0.53125</v>
      </c>
    </row>
    <row r="427" spans="1:13" x14ac:dyDescent="0.3">
      <c r="A427" t="s">
        <v>771</v>
      </c>
      <c r="B427" s="3" t="s">
        <v>772</v>
      </c>
      <c r="C427" t="s">
        <v>13</v>
      </c>
      <c r="D427" t="s">
        <v>67</v>
      </c>
      <c r="E427">
        <v>9</v>
      </c>
      <c r="F427" s="5">
        <v>35</v>
      </c>
      <c r="G427" s="9">
        <v>0.2</v>
      </c>
      <c r="H427" s="5">
        <v>252</v>
      </c>
      <c r="I427" s="5">
        <v>144</v>
      </c>
      <c r="J427" t="s">
        <v>15</v>
      </c>
      <c r="K427" t="s">
        <v>32</v>
      </c>
      <c r="L427" t="str">
        <f t="shared" si="12"/>
        <v>2025-11</v>
      </c>
      <c r="M427" s="9">
        <f t="shared" si="13"/>
        <v>0.5714285714285714</v>
      </c>
    </row>
    <row r="428" spans="1:13" x14ac:dyDescent="0.3">
      <c r="A428" t="s">
        <v>773</v>
      </c>
      <c r="B428" s="3" t="s">
        <v>772</v>
      </c>
      <c r="C428" t="s">
        <v>13</v>
      </c>
      <c r="D428" t="s">
        <v>14</v>
      </c>
      <c r="E428">
        <v>6</v>
      </c>
      <c r="F428" s="5">
        <v>110</v>
      </c>
      <c r="G428" s="9">
        <v>0.05</v>
      </c>
      <c r="H428" s="5">
        <v>627</v>
      </c>
      <c r="I428" s="5">
        <v>447</v>
      </c>
      <c r="J428" t="s">
        <v>15</v>
      </c>
      <c r="K428" t="s">
        <v>29</v>
      </c>
      <c r="L428" t="str">
        <f t="shared" si="12"/>
        <v>2025-11</v>
      </c>
      <c r="M428" s="9">
        <f t="shared" si="13"/>
        <v>0.71291866028708128</v>
      </c>
    </row>
    <row r="429" spans="1:13" x14ac:dyDescent="0.3">
      <c r="A429" t="s">
        <v>774</v>
      </c>
      <c r="B429" s="3" t="s">
        <v>775</v>
      </c>
      <c r="C429" t="s">
        <v>13</v>
      </c>
      <c r="D429" t="s">
        <v>14</v>
      </c>
      <c r="E429">
        <v>7</v>
      </c>
      <c r="F429" s="5">
        <v>110</v>
      </c>
      <c r="G429" s="9">
        <v>0</v>
      </c>
      <c r="H429" s="5">
        <v>770</v>
      </c>
      <c r="I429" s="5">
        <v>560</v>
      </c>
      <c r="J429" t="s">
        <v>44</v>
      </c>
      <c r="K429" t="s">
        <v>16</v>
      </c>
      <c r="L429" t="str">
        <f t="shared" si="12"/>
        <v>2025-11</v>
      </c>
      <c r="M429" s="9">
        <f t="shared" si="13"/>
        <v>0.72727272727272729</v>
      </c>
    </row>
    <row r="430" spans="1:13" x14ac:dyDescent="0.3">
      <c r="A430" t="s">
        <v>776</v>
      </c>
      <c r="B430" s="3" t="s">
        <v>777</v>
      </c>
      <c r="C430" t="s">
        <v>18</v>
      </c>
      <c r="D430" t="s">
        <v>77</v>
      </c>
      <c r="E430">
        <v>5</v>
      </c>
      <c r="F430" s="5">
        <v>1200</v>
      </c>
      <c r="G430" s="9">
        <v>0</v>
      </c>
      <c r="H430" s="5">
        <v>6000</v>
      </c>
      <c r="I430" s="5">
        <v>4500</v>
      </c>
      <c r="J430" t="s">
        <v>15</v>
      </c>
      <c r="K430" t="s">
        <v>32</v>
      </c>
      <c r="L430" t="str">
        <f t="shared" si="12"/>
        <v>2025-11</v>
      </c>
      <c r="M430" s="9">
        <f t="shared" si="13"/>
        <v>0.75</v>
      </c>
    </row>
    <row r="431" spans="1:13" x14ac:dyDescent="0.3">
      <c r="A431" t="s">
        <v>778</v>
      </c>
      <c r="B431" s="3" t="s">
        <v>777</v>
      </c>
      <c r="C431" t="s">
        <v>13</v>
      </c>
      <c r="D431" t="s">
        <v>38</v>
      </c>
      <c r="E431">
        <v>1</v>
      </c>
      <c r="F431" s="5">
        <v>150</v>
      </c>
      <c r="G431" s="9">
        <v>0.05</v>
      </c>
      <c r="H431" s="5">
        <v>142.5</v>
      </c>
      <c r="I431" s="5">
        <v>102.5</v>
      </c>
      <c r="J431" t="s">
        <v>15</v>
      </c>
      <c r="K431" t="s">
        <v>29</v>
      </c>
      <c r="L431" t="str">
        <f t="shared" si="12"/>
        <v>2025-11</v>
      </c>
      <c r="M431" s="9">
        <f t="shared" si="13"/>
        <v>0.7192982456140351</v>
      </c>
    </row>
    <row r="432" spans="1:13" x14ac:dyDescent="0.3">
      <c r="A432" t="s">
        <v>779</v>
      </c>
      <c r="B432" s="3" t="s">
        <v>780</v>
      </c>
      <c r="C432" t="s">
        <v>13</v>
      </c>
      <c r="D432" t="s">
        <v>38</v>
      </c>
      <c r="E432">
        <v>4</v>
      </c>
      <c r="F432" s="5">
        <v>150</v>
      </c>
      <c r="G432" s="9">
        <v>0</v>
      </c>
      <c r="H432" s="5">
        <v>600</v>
      </c>
      <c r="I432" s="5">
        <v>440</v>
      </c>
      <c r="J432" t="s">
        <v>28</v>
      </c>
      <c r="K432" t="s">
        <v>32</v>
      </c>
      <c r="L432" t="str">
        <f t="shared" si="12"/>
        <v>2025-11</v>
      </c>
      <c r="M432" s="9">
        <f t="shared" si="13"/>
        <v>0.73333333333333328</v>
      </c>
    </row>
    <row r="433" spans="1:13" x14ac:dyDescent="0.3">
      <c r="A433" t="s">
        <v>781</v>
      </c>
      <c r="B433" s="3" t="s">
        <v>782</v>
      </c>
      <c r="C433" t="s">
        <v>13</v>
      </c>
      <c r="D433" t="s">
        <v>51</v>
      </c>
      <c r="E433">
        <v>8</v>
      </c>
      <c r="F433" s="5">
        <v>250</v>
      </c>
      <c r="G433" s="9">
        <v>0.05</v>
      </c>
      <c r="H433" s="5">
        <v>1900</v>
      </c>
      <c r="I433" s="5">
        <v>1340</v>
      </c>
      <c r="J433" t="s">
        <v>15</v>
      </c>
      <c r="K433" t="s">
        <v>16</v>
      </c>
      <c r="L433" t="str">
        <f t="shared" si="12"/>
        <v>2025-11</v>
      </c>
      <c r="M433" s="9">
        <f t="shared" si="13"/>
        <v>0.70526315789473681</v>
      </c>
    </row>
    <row r="434" spans="1:13" x14ac:dyDescent="0.3">
      <c r="A434" t="s">
        <v>783</v>
      </c>
      <c r="B434" s="3" t="s">
        <v>784</v>
      </c>
      <c r="C434" t="s">
        <v>18</v>
      </c>
      <c r="D434" t="s">
        <v>77</v>
      </c>
      <c r="E434">
        <v>5</v>
      </c>
      <c r="F434" s="5">
        <v>1200</v>
      </c>
      <c r="G434" s="9">
        <v>0.05</v>
      </c>
      <c r="H434" s="5">
        <v>5700</v>
      </c>
      <c r="I434" s="5">
        <v>4200</v>
      </c>
      <c r="J434" t="s">
        <v>15</v>
      </c>
      <c r="K434" t="s">
        <v>32</v>
      </c>
      <c r="L434" t="str">
        <f t="shared" si="12"/>
        <v>2025-11</v>
      </c>
      <c r="M434" s="9">
        <f t="shared" si="13"/>
        <v>0.73684210526315785</v>
      </c>
    </row>
    <row r="435" spans="1:13" x14ac:dyDescent="0.3">
      <c r="A435" t="s">
        <v>785</v>
      </c>
      <c r="B435" s="3" t="s">
        <v>784</v>
      </c>
      <c r="C435" t="s">
        <v>23</v>
      </c>
      <c r="D435" t="s">
        <v>58</v>
      </c>
      <c r="E435">
        <v>6</v>
      </c>
      <c r="F435" s="5">
        <v>8</v>
      </c>
      <c r="G435" s="9">
        <v>0.05</v>
      </c>
      <c r="H435" s="5">
        <v>45.6</v>
      </c>
      <c r="I435" s="5">
        <v>27.6</v>
      </c>
      <c r="J435" t="s">
        <v>28</v>
      </c>
      <c r="K435" t="s">
        <v>16</v>
      </c>
      <c r="L435" t="str">
        <f t="shared" si="12"/>
        <v>2025-11</v>
      </c>
      <c r="M435" s="9">
        <f t="shared" si="13"/>
        <v>0.60526315789473684</v>
      </c>
    </row>
    <row r="436" spans="1:13" x14ac:dyDescent="0.3">
      <c r="A436" t="s">
        <v>786</v>
      </c>
      <c r="B436" s="3" t="s">
        <v>787</v>
      </c>
      <c r="C436" t="s">
        <v>23</v>
      </c>
      <c r="D436" t="s">
        <v>43</v>
      </c>
      <c r="E436">
        <v>5</v>
      </c>
      <c r="F436" s="5">
        <v>20</v>
      </c>
      <c r="G436" s="9">
        <v>0.1</v>
      </c>
      <c r="H436" s="5">
        <v>90</v>
      </c>
      <c r="I436" s="5">
        <v>55</v>
      </c>
      <c r="J436" t="s">
        <v>15</v>
      </c>
      <c r="K436" t="s">
        <v>32</v>
      </c>
      <c r="L436" t="str">
        <f t="shared" si="12"/>
        <v>2025-11</v>
      </c>
      <c r="M436" s="9">
        <f t="shared" si="13"/>
        <v>0.61111111111111116</v>
      </c>
    </row>
    <row r="437" spans="1:13" x14ac:dyDescent="0.3">
      <c r="A437" t="s">
        <v>788</v>
      </c>
      <c r="B437" s="3" t="s">
        <v>789</v>
      </c>
      <c r="C437" t="s">
        <v>23</v>
      </c>
      <c r="D437" t="s">
        <v>35</v>
      </c>
      <c r="E437">
        <v>3</v>
      </c>
      <c r="F437" s="5">
        <v>15</v>
      </c>
      <c r="G437" s="9">
        <v>0</v>
      </c>
      <c r="H437" s="5">
        <v>45</v>
      </c>
      <c r="I437" s="5">
        <v>30</v>
      </c>
      <c r="J437" t="s">
        <v>28</v>
      </c>
      <c r="K437" t="s">
        <v>29</v>
      </c>
      <c r="L437" t="str">
        <f t="shared" si="12"/>
        <v>2025-11</v>
      </c>
      <c r="M437" s="9">
        <f t="shared" si="13"/>
        <v>0.66666666666666663</v>
      </c>
    </row>
    <row r="438" spans="1:13" x14ac:dyDescent="0.3">
      <c r="A438" t="s">
        <v>790</v>
      </c>
      <c r="B438" s="3" t="s">
        <v>791</v>
      </c>
      <c r="C438" t="s">
        <v>23</v>
      </c>
      <c r="D438" t="s">
        <v>24</v>
      </c>
      <c r="E438">
        <v>4</v>
      </c>
      <c r="F438" s="5">
        <v>10</v>
      </c>
      <c r="G438" s="9">
        <v>0</v>
      </c>
      <c r="H438" s="5">
        <v>40</v>
      </c>
      <c r="I438" s="5">
        <v>24</v>
      </c>
      <c r="J438" t="s">
        <v>15</v>
      </c>
      <c r="K438" t="s">
        <v>29</v>
      </c>
      <c r="L438" t="str">
        <f t="shared" si="12"/>
        <v>2025-11</v>
      </c>
      <c r="M438" s="9">
        <f t="shared" si="13"/>
        <v>0.6</v>
      </c>
    </row>
    <row r="439" spans="1:13" x14ac:dyDescent="0.3">
      <c r="A439" t="s">
        <v>792</v>
      </c>
      <c r="B439" s="3" t="s">
        <v>791</v>
      </c>
      <c r="C439" t="s">
        <v>13</v>
      </c>
      <c r="D439" t="s">
        <v>38</v>
      </c>
      <c r="E439">
        <v>9</v>
      </c>
      <c r="F439" s="5">
        <v>150</v>
      </c>
      <c r="G439" s="9">
        <v>0</v>
      </c>
      <c r="H439" s="5">
        <v>1350</v>
      </c>
      <c r="I439" s="5">
        <v>990</v>
      </c>
      <c r="J439" t="s">
        <v>20</v>
      </c>
      <c r="K439" t="s">
        <v>32</v>
      </c>
      <c r="L439" t="str">
        <f t="shared" si="12"/>
        <v>2025-11</v>
      </c>
      <c r="M439" s="9">
        <f t="shared" si="13"/>
        <v>0.73333333333333328</v>
      </c>
    </row>
    <row r="440" spans="1:13" x14ac:dyDescent="0.3">
      <c r="A440" t="s">
        <v>793</v>
      </c>
      <c r="B440" s="3" t="s">
        <v>794</v>
      </c>
      <c r="C440" t="s">
        <v>13</v>
      </c>
      <c r="D440" t="s">
        <v>67</v>
      </c>
      <c r="E440">
        <v>3</v>
      </c>
      <c r="F440" s="5">
        <v>35</v>
      </c>
      <c r="G440" s="9">
        <v>0.05</v>
      </c>
      <c r="H440" s="5">
        <v>99.75</v>
      </c>
      <c r="I440" s="5">
        <v>63.75</v>
      </c>
      <c r="J440" t="s">
        <v>20</v>
      </c>
      <c r="K440" t="s">
        <v>32</v>
      </c>
      <c r="L440" t="str">
        <f t="shared" si="12"/>
        <v>2025-11</v>
      </c>
      <c r="M440" s="9">
        <f t="shared" si="13"/>
        <v>0.63909774436090228</v>
      </c>
    </row>
    <row r="441" spans="1:13" x14ac:dyDescent="0.3">
      <c r="A441" t="s">
        <v>795</v>
      </c>
      <c r="B441" s="3" t="s">
        <v>796</v>
      </c>
      <c r="C441" t="s">
        <v>13</v>
      </c>
      <c r="D441" t="s">
        <v>51</v>
      </c>
      <c r="E441">
        <v>8</v>
      </c>
      <c r="F441" s="5">
        <v>250</v>
      </c>
      <c r="G441" s="9">
        <v>0.15</v>
      </c>
      <c r="H441" s="5">
        <v>1700</v>
      </c>
      <c r="I441" s="5">
        <v>1140</v>
      </c>
      <c r="J441" t="s">
        <v>44</v>
      </c>
      <c r="K441" t="s">
        <v>32</v>
      </c>
      <c r="L441" t="str">
        <f t="shared" si="12"/>
        <v>2025-11</v>
      </c>
      <c r="M441" s="9">
        <f t="shared" si="13"/>
        <v>0.6705882352941176</v>
      </c>
    </row>
    <row r="442" spans="1:13" x14ac:dyDescent="0.3">
      <c r="A442" t="s">
        <v>797</v>
      </c>
      <c r="B442" s="3" t="s">
        <v>796</v>
      </c>
      <c r="C442" t="s">
        <v>23</v>
      </c>
      <c r="D442" t="s">
        <v>58</v>
      </c>
      <c r="E442">
        <v>6</v>
      </c>
      <c r="F442" s="5">
        <v>8</v>
      </c>
      <c r="G442" s="9">
        <v>0</v>
      </c>
      <c r="H442" s="5">
        <v>48</v>
      </c>
      <c r="I442" s="5">
        <v>30</v>
      </c>
      <c r="J442" t="s">
        <v>15</v>
      </c>
      <c r="K442" t="s">
        <v>32</v>
      </c>
      <c r="L442" t="str">
        <f t="shared" si="12"/>
        <v>2025-11</v>
      </c>
      <c r="M442" s="9">
        <f t="shared" si="13"/>
        <v>0.625</v>
      </c>
    </row>
    <row r="443" spans="1:13" x14ac:dyDescent="0.3">
      <c r="A443" t="s">
        <v>798</v>
      </c>
      <c r="B443" s="3" t="s">
        <v>799</v>
      </c>
      <c r="C443" t="s">
        <v>18</v>
      </c>
      <c r="D443" t="s">
        <v>61</v>
      </c>
      <c r="E443">
        <v>6</v>
      </c>
      <c r="F443" s="5">
        <v>25</v>
      </c>
      <c r="G443" s="9">
        <v>0.05</v>
      </c>
      <c r="H443" s="5">
        <v>142.5</v>
      </c>
      <c r="I443" s="5">
        <v>82.5</v>
      </c>
      <c r="J443" t="s">
        <v>20</v>
      </c>
      <c r="K443" t="s">
        <v>29</v>
      </c>
      <c r="L443" t="str">
        <f t="shared" si="12"/>
        <v>2025-11</v>
      </c>
      <c r="M443" s="9">
        <f t="shared" si="13"/>
        <v>0.57894736842105265</v>
      </c>
    </row>
    <row r="444" spans="1:13" x14ac:dyDescent="0.3">
      <c r="A444" t="s">
        <v>800</v>
      </c>
      <c r="B444" s="3" t="s">
        <v>801</v>
      </c>
      <c r="C444" t="s">
        <v>18</v>
      </c>
      <c r="D444" t="s">
        <v>19</v>
      </c>
      <c r="E444">
        <v>2</v>
      </c>
      <c r="F444" s="5">
        <v>40</v>
      </c>
      <c r="G444" s="9">
        <v>0</v>
      </c>
      <c r="H444" s="5">
        <v>80</v>
      </c>
      <c r="I444" s="5">
        <v>50</v>
      </c>
      <c r="J444" t="s">
        <v>20</v>
      </c>
      <c r="K444" t="s">
        <v>29</v>
      </c>
      <c r="L444" t="str">
        <f t="shared" si="12"/>
        <v>2025-11</v>
      </c>
      <c r="M444" s="9">
        <f t="shared" si="13"/>
        <v>0.625</v>
      </c>
    </row>
    <row r="445" spans="1:13" x14ac:dyDescent="0.3">
      <c r="A445" t="s">
        <v>802</v>
      </c>
      <c r="B445" s="3" t="s">
        <v>803</v>
      </c>
      <c r="C445" t="s">
        <v>23</v>
      </c>
      <c r="D445" t="s">
        <v>58</v>
      </c>
      <c r="E445">
        <v>3</v>
      </c>
      <c r="F445" s="5">
        <v>8</v>
      </c>
      <c r="G445" s="9">
        <v>0</v>
      </c>
      <c r="H445" s="5">
        <v>24</v>
      </c>
      <c r="I445" s="5">
        <v>15</v>
      </c>
      <c r="J445" t="s">
        <v>28</v>
      </c>
      <c r="K445" t="s">
        <v>16</v>
      </c>
      <c r="L445" t="str">
        <f t="shared" si="12"/>
        <v>2025-11</v>
      </c>
      <c r="M445" s="9">
        <f t="shared" si="13"/>
        <v>0.625</v>
      </c>
    </row>
    <row r="446" spans="1:13" x14ac:dyDescent="0.3">
      <c r="A446" t="s">
        <v>804</v>
      </c>
      <c r="B446" s="3" t="s">
        <v>803</v>
      </c>
      <c r="C446" t="s">
        <v>18</v>
      </c>
      <c r="D446" t="s">
        <v>27</v>
      </c>
      <c r="E446">
        <v>1</v>
      </c>
      <c r="F446" s="5">
        <v>80</v>
      </c>
      <c r="G446" s="9">
        <v>0</v>
      </c>
      <c r="H446" s="5">
        <v>80</v>
      </c>
      <c r="I446" s="5">
        <v>50</v>
      </c>
      <c r="J446" t="s">
        <v>20</v>
      </c>
      <c r="K446" t="s">
        <v>16</v>
      </c>
      <c r="L446" t="str">
        <f t="shared" si="12"/>
        <v>2025-11</v>
      </c>
      <c r="M446" s="9">
        <f t="shared" si="13"/>
        <v>0.625</v>
      </c>
    </row>
    <row r="447" spans="1:13" x14ac:dyDescent="0.3">
      <c r="A447" t="s">
        <v>805</v>
      </c>
      <c r="B447" s="3" t="s">
        <v>806</v>
      </c>
      <c r="C447" t="s">
        <v>18</v>
      </c>
      <c r="D447" t="s">
        <v>19</v>
      </c>
      <c r="E447">
        <v>9</v>
      </c>
      <c r="F447" s="5">
        <v>40</v>
      </c>
      <c r="G447" s="9">
        <v>0.1</v>
      </c>
      <c r="H447" s="5">
        <v>324</v>
      </c>
      <c r="I447" s="5">
        <v>189</v>
      </c>
      <c r="J447" t="s">
        <v>28</v>
      </c>
      <c r="K447" t="s">
        <v>29</v>
      </c>
      <c r="L447" t="str">
        <f t="shared" si="12"/>
        <v>2025-11</v>
      </c>
      <c r="M447" s="9">
        <f t="shared" si="13"/>
        <v>0.58333333333333337</v>
      </c>
    </row>
    <row r="448" spans="1:13" x14ac:dyDescent="0.3">
      <c r="A448" t="s">
        <v>807</v>
      </c>
      <c r="B448" s="3" t="s">
        <v>808</v>
      </c>
      <c r="C448" t="s">
        <v>18</v>
      </c>
      <c r="D448" t="s">
        <v>77</v>
      </c>
      <c r="E448">
        <v>2</v>
      </c>
      <c r="F448" s="5">
        <v>1200</v>
      </c>
      <c r="G448" s="9">
        <v>0</v>
      </c>
      <c r="H448" s="5">
        <v>2400</v>
      </c>
      <c r="I448" s="5">
        <v>1800</v>
      </c>
      <c r="J448" t="s">
        <v>44</v>
      </c>
      <c r="K448" t="s">
        <v>29</v>
      </c>
      <c r="L448" t="str">
        <f t="shared" si="12"/>
        <v>2025-11</v>
      </c>
      <c r="M448" s="9">
        <f t="shared" si="13"/>
        <v>0.75</v>
      </c>
    </row>
    <row r="449" spans="1:13" x14ac:dyDescent="0.3">
      <c r="A449" t="s">
        <v>809</v>
      </c>
      <c r="B449" s="3" t="s">
        <v>810</v>
      </c>
      <c r="C449" t="s">
        <v>18</v>
      </c>
      <c r="D449" t="s">
        <v>27</v>
      </c>
      <c r="E449">
        <v>8</v>
      </c>
      <c r="F449" s="5">
        <v>80</v>
      </c>
      <c r="G449" s="9">
        <v>0</v>
      </c>
      <c r="H449" s="5">
        <v>640</v>
      </c>
      <c r="I449" s="5">
        <v>400</v>
      </c>
      <c r="J449" t="s">
        <v>28</v>
      </c>
      <c r="K449" t="s">
        <v>32</v>
      </c>
      <c r="L449" t="str">
        <f t="shared" si="12"/>
        <v>2025-11</v>
      </c>
      <c r="M449" s="9">
        <f t="shared" si="13"/>
        <v>0.625</v>
      </c>
    </row>
    <row r="450" spans="1:13" x14ac:dyDescent="0.3">
      <c r="A450" t="s">
        <v>811</v>
      </c>
      <c r="B450" s="3" t="s">
        <v>810</v>
      </c>
      <c r="C450" t="s">
        <v>18</v>
      </c>
      <c r="D450" t="s">
        <v>19</v>
      </c>
      <c r="E450">
        <v>3</v>
      </c>
      <c r="F450" s="5">
        <v>40</v>
      </c>
      <c r="G450" s="9">
        <v>0.05</v>
      </c>
      <c r="H450" s="5">
        <v>114</v>
      </c>
      <c r="I450" s="5">
        <v>69</v>
      </c>
      <c r="J450" t="s">
        <v>15</v>
      </c>
      <c r="K450" t="s">
        <v>16</v>
      </c>
      <c r="L450" t="str">
        <f t="shared" si="12"/>
        <v>2025-11</v>
      </c>
      <c r="M450" s="9">
        <f t="shared" si="13"/>
        <v>0.60526315789473684</v>
      </c>
    </row>
    <row r="451" spans="1:13" x14ac:dyDescent="0.3">
      <c r="A451" t="s">
        <v>812</v>
      </c>
      <c r="B451" s="3" t="s">
        <v>813</v>
      </c>
      <c r="C451" t="s">
        <v>13</v>
      </c>
      <c r="D451" t="s">
        <v>41</v>
      </c>
      <c r="E451">
        <v>6</v>
      </c>
      <c r="F451" s="5">
        <v>450</v>
      </c>
      <c r="G451" s="9">
        <v>0</v>
      </c>
      <c r="H451" s="5">
        <v>2700</v>
      </c>
      <c r="I451" s="5">
        <v>1980</v>
      </c>
      <c r="J451" t="s">
        <v>15</v>
      </c>
      <c r="K451" t="s">
        <v>29</v>
      </c>
      <c r="L451" t="str">
        <f t="shared" ref="L451:L501" si="14">TEXT(B451, "YYYY-MM")</f>
        <v>2025-11</v>
      </c>
      <c r="M451" s="9">
        <f t="shared" ref="M451:M501" si="15">I451/H451</f>
        <v>0.73333333333333328</v>
      </c>
    </row>
    <row r="452" spans="1:13" x14ac:dyDescent="0.3">
      <c r="A452" t="s">
        <v>814</v>
      </c>
      <c r="B452" s="3" t="s">
        <v>815</v>
      </c>
      <c r="C452" t="s">
        <v>18</v>
      </c>
      <c r="D452" t="s">
        <v>128</v>
      </c>
      <c r="E452">
        <v>2</v>
      </c>
      <c r="F452" s="5">
        <v>350</v>
      </c>
      <c r="G452" s="9">
        <v>0</v>
      </c>
      <c r="H452" s="5">
        <v>700</v>
      </c>
      <c r="I452" s="5">
        <v>520</v>
      </c>
      <c r="J452" t="s">
        <v>28</v>
      </c>
      <c r="K452" t="s">
        <v>32</v>
      </c>
      <c r="L452" t="str">
        <f t="shared" si="14"/>
        <v>2025-11</v>
      </c>
      <c r="M452" s="9">
        <f t="shared" si="15"/>
        <v>0.74285714285714288</v>
      </c>
    </row>
    <row r="453" spans="1:13" x14ac:dyDescent="0.3">
      <c r="A453" t="s">
        <v>816</v>
      </c>
      <c r="B453" s="3" t="s">
        <v>815</v>
      </c>
      <c r="C453" t="s">
        <v>13</v>
      </c>
      <c r="D453" t="s">
        <v>38</v>
      </c>
      <c r="E453">
        <v>6</v>
      </c>
      <c r="F453" s="5">
        <v>150</v>
      </c>
      <c r="G453" s="9">
        <v>0</v>
      </c>
      <c r="H453" s="5">
        <v>900</v>
      </c>
      <c r="I453" s="5">
        <v>660</v>
      </c>
      <c r="J453" t="s">
        <v>44</v>
      </c>
      <c r="K453" t="s">
        <v>16</v>
      </c>
      <c r="L453" t="str">
        <f t="shared" si="14"/>
        <v>2025-11</v>
      </c>
      <c r="M453" s="9">
        <f t="shared" si="15"/>
        <v>0.73333333333333328</v>
      </c>
    </row>
    <row r="454" spans="1:13" x14ac:dyDescent="0.3">
      <c r="A454" t="s">
        <v>817</v>
      </c>
      <c r="B454" s="3" t="s">
        <v>818</v>
      </c>
      <c r="C454" t="s">
        <v>13</v>
      </c>
      <c r="D454" t="s">
        <v>14</v>
      </c>
      <c r="E454">
        <v>5</v>
      </c>
      <c r="F454" s="5">
        <v>110</v>
      </c>
      <c r="G454" s="9">
        <v>0</v>
      </c>
      <c r="H454" s="5">
        <v>550</v>
      </c>
      <c r="I454" s="5">
        <v>400</v>
      </c>
      <c r="J454" t="s">
        <v>44</v>
      </c>
      <c r="K454" t="s">
        <v>29</v>
      </c>
      <c r="L454" t="str">
        <f t="shared" si="14"/>
        <v>2025-11</v>
      </c>
      <c r="M454" s="9">
        <f t="shared" si="15"/>
        <v>0.72727272727272729</v>
      </c>
    </row>
    <row r="455" spans="1:13" x14ac:dyDescent="0.3">
      <c r="A455" t="s">
        <v>819</v>
      </c>
      <c r="B455" s="3" t="s">
        <v>820</v>
      </c>
      <c r="C455" t="s">
        <v>18</v>
      </c>
      <c r="D455" t="s">
        <v>61</v>
      </c>
      <c r="E455">
        <v>4</v>
      </c>
      <c r="F455" s="5">
        <v>25</v>
      </c>
      <c r="G455" s="9">
        <v>0.05</v>
      </c>
      <c r="H455" s="5">
        <v>95</v>
      </c>
      <c r="I455" s="5">
        <v>55</v>
      </c>
      <c r="J455" t="s">
        <v>15</v>
      </c>
      <c r="K455" t="s">
        <v>29</v>
      </c>
      <c r="L455" t="str">
        <f t="shared" si="14"/>
        <v>2025-11</v>
      </c>
      <c r="M455" s="9">
        <f t="shared" si="15"/>
        <v>0.57894736842105265</v>
      </c>
    </row>
    <row r="456" spans="1:13" x14ac:dyDescent="0.3">
      <c r="A456" t="s">
        <v>821</v>
      </c>
      <c r="B456" s="3" t="s">
        <v>822</v>
      </c>
      <c r="C456" t="s">
        <v>18</v>
      </c>
      <c r="D456" t="s">
        <v>128</v>
      </c>
      <c r="E456">
        <v>4</v>
      </c>
      <c r="F456" s="5">
        <v>350</v>
      </c>
      <c r="G456" s="9">
        <v>0</v>
      </c>
      <c r="H456" s="5">
        <v>1400</v>
      </c>
      <c r="I456" s="5">
        <v>1040</v>
      </c>
      <c r="J456" t="s">
        <v>15</v>
      </c>
      <c r="K456" t="s">
        <v>29</v>
      </c>
      <c r="L456" t="str">
        <f t="shared" si="14"/>
        <v>2025-11</v>
      </c>
      <c r="M456" s="9">
        <f t="shared" si="15"/>
        <v>0.74285714285714288</v>
      </c>
    </row>
    <row r="457" spans="1:13" x14ac:dyDescent="0.3">
      <c r="A457" t="s">
        <v>823</v>
      </c>
      <c r="B457" s="3" t="s">
        <v>822</v>
      </c>
      <c r="C457" t="s">
        <v>18</v>
      </c>
      <c r="D457" t="s">
        <v>27</v>
      </c>
      <c r="E457">
        <v>7</v>
      </c>
      <c r="F457" s="5">
        <v>80</v>
      </c>
      <c r="G457" s="9">
        <v>0.1</v>
      </c>
      <c r="H457" s="5">
        <v>504</v>
      </c>
      <c r="I457" s="5">
        <v>294</v>
      </c>
      <c r="J457" t="s">
        <v>44</v>
      </c>
      <c r="K457" t="s">
        <v>16</v>
      </c>
      <c r="L457" t="str">
        <f t="shared" si="14"/>
        <v>2025-11</v>
      </c>
      <c r="M457" s="9">
        <f t="shared" si="15"/>
        <v>0.58333333333333337</v>
      </c>
    </row>
    <row r="458" spans="1:13" x14ac:dyDescent="0.3">
      <c r="A458" t="s">
        <v>824</v>
      </c>
      <c r="B458" s="3" t="s">
        <v>825</v>
      </c>
      <c r="C458" t="s">
        <v>23</v>
      </c>
      <c r="D458" t="s">
        <v>24</v>
      </c>
      <c r="E458">
        <v>9</v>
      </c>
      <c r="F458" s="5">
        <v>10</v>
      </c>
      <c r="G458" s="9">
        <v>0.1</v>
      </c>
      <c r="H458" s="5">
        <v>81</v>
      </c>
      <c r="I458" s="5">
        <v>45</v>
      </c>
      <c r="J458" t="s">
        <v>44</v>
      </c>
      <c r="K458" t="s">
        <v>16</v>
      </c>
      <c r="L458" t="str">
        <f t="shared" si="14"/>
        <v>2025-11</v>
      </c>
      <c r="M458" s="9">
        <f t="shared" si="15"/>
        <v>0.55555555555555558</v>
      </c>
    </row>
    <row r="459" spans="1:13" x14ac:dyDescent="0.3">
      <c r="A459" t="s">
        <v>826</v>
      </c>
      <c r="B459" s="3" t="s">
        <v>827</v>
      </c>
      <c r="C459" t="s">
        <v>13</v>
      </c>
      <c r="D459" t="s">
        <v>41</v>
      </c>
      <c r="E459">
        <v>2</v>
      </c>
      <c r="F459" s="5">
        <v>450</v>
      </c>
      <c r="G459" s="9">
        <v>0</v>
      </c>
      <c r="H459" s="5">
        <v>900</v>
      </c>
      <c r="I459" s="5">
        <v>660</v>
      </c>
      <c r="J459" t="s">
        <v>20</v>
      </c>
      <c r="K459" t="s">
        <v>16</v>
      </c>
      <c r="L459" t="str">
        <f t="shared" si="14"/>
        <v>2025-11</v>
      </c>
      <c r="M459" s="9">
        <f t="shared" si="15"/>
        <v>0.73333333333333328</v>
      </c>
    </row>
    <row r="460" spans="1:13" x14ac:dyDescent="0.3">
      <c r="A460" t="s">
        <v>828</v>
      </c>
      <c r="B460" s="3" t="s">
        <v>829</v>
      </c>
      <c r="C460" t="s">
        <v>23</v>
      </c>
      <c r="D460" t="s">
        <v>35</v>
      </c>
      <c r="E460">
        <v>6</v>
      </c>
      <c r="F460" s="5">
        <v>15</v>
      </c>
      <c r="G460" s="9">
        <v>0</v>
      </c>
      <c r="H460" s="5">
        <v>90</v>
      </c>
      <c r="I460" s="5">
        <v>60</v>
      </c>
      <c r="J460" t="s">
        <v>20</v>
      </c>
      <c r="K460" t="s">
        <v>16</v>
      </c>
      <c r="L460" t="str">
        <f t="shared" si="14"/>
        <v>2025-12</v>
      </c>
      <c r="M460" s="9">
        <f t="shared" si="15"/>
        <v>0.66666666666666663</v>
      </c>
    </row>
    <row r="461" spans="1:13" x14ac:dyDescent="0.3">
      <c r="A461" t="s">
        <v>830</v>
      </c>
      <c r="B461" s="3" t="s">
        <v>829</v>
      </c>
      <c r="C461" t="s">
        <v>18</v>
      </c>
      <c r="D461" t="s">
        <v>77</v>
      </c>
      <c r="E461">
        <v>3</v>
      </c>
      <c r="F461" s="5">
        <v>1200</v>
      </c>
      <c r="G461" s="9">
        <v>0.05</v>
      </c>
      <c r="H461" s="5">
        <v>3420</v>
      </c>
      <c r="I461" s="5">
        <v>2520</v>
      </c>
      <c r="J461" t="s">
        <v>28</v>
      </c>
      <c r="K461" t="s">
        <v>29</v>
      </c>
      <c r="L461" t="str">
        <f t="shared" si="14"/>
        <v>2025-12</v>
      </c>
      <c r="M461" s="9">
        <f t="shared" si="15"/>
        <v>0.73684210526315785</v>
      </c>
    </row>
    <row r="462" spans="1:13" x14ac:dyDescent="0.3">
      <c r="A462" t="s">
        <v>831</v>
      </c>
      <c r="B462" s="3" t="s">
        <v>832</v>
      </c>
      <c r="C462" t="s">
        <v>23</v>
      </c>
      <c r="D462" t="s">
        <v>58</v>
      </c>
      <c r="E462">
        <v>3</v>
      </c>
      <c r="F462" s="5">
        <v>8</v>
      </c>
      <c r="G462" s="9">
        <v>0.15</v>
      </c>
      <c r="H462" s="5">
        <v>20.399999999999999</v>
      </c>
      <c r="I462" s="5">
        <v>11.4</v>
      </c>
      <c r="J462" t="s">
        <v>44</v>
      </c>
      <c r="K462" t="s">
        <v>32</v>
      </c>
      <c r="L462" t="str">
        <f t="shared" si="14"/>
        <v>2025-12</v>
      </c>
      <c r="M462" s="9">
        <f t="shared" si="15"/>
        <v>0.55882352941176472</v>
      </c>
    </row>
    <row r="463" spans="1:13" x14ac:dyDescent="0.3">
      <c r="A463" t="s">
        <v>833</v>
      </c>
      <c r="B463" s="3" t="s">
        <v>834</v>
      </c>
      <c r="C463" t="s">
        <v>18</v>
      </c>
      <c r="D463" t="s">
        <v>61</v>
      </c>
      <c r="E463">
        <v>7</v>
      </c>
      <c r="F463" s="5">
        <v>25</v>
      </c>
      <c r="G463" s="9">
        <v>0</v>
      </c>
      <c r="H463" s="5">
        <v>175</v>
      </c>
      <c r="I463" s="5">
        <v>105</v>
      </c>
      <c r="J463" t="s">
        <v>44</v>
      </c>
      <c r="K463" t="s">
        <v>29</v>
      </c>
      <c r="L463" t="str">
        <f t="shared" si="14"/>
        <v>2025-12</v>
      </c>
      <c r="M463" s="9">
        <f t="shared" si="15"/>
        <v>0.6</v>
      </c>
    </row>
    <row r="464" spans="1:13" x14ac:dyDescent="0.3">
      <c r="A464" t="s">
        <v>835</v>
      </c>
      <c r="B464" s="3" t="s">
        <v>836</v>
      </c>
      <c r="C464" t="s">
        <v>23</v>
      </c>
      <c r="D464" t="s">
        <v>24</v>
      </c>
      <c r="E464">
        <v>7</v>
      </c>
      <c r="F464" s="5">
        <v>10</v>
      </c>
      <c r="G464" s="9">
        <v>0</v>
      </c>
      <c r="H464" s="5">
        <v>70</v>
      </c>
      <c r="I464" s="5">
        <v>42</v>
      </c>
      <c r="J464" t="s">
        <v>28</v>
      </c>
      <c r="K464" t="s">
        <v>16</v>
      </c>
      <c r="L464" t="str">
        <f t="shared" si="14"/>
        <v>2025-12</v>
      </c>
      <c r="M464" s="9">
        <f t="shared" si="15"/>
        <v>0.6</v>
      </c>
    </row>
    <row r="465" spans="1:13" x14ac:dyDescent="0.3">
      <c r="A465" t="s">
        <v>837</v>
      </c>
      <c r="B465" s="3" t="s">
        <v>836</v>
      </c>
      <c r="C465" t="s">
        <v>18</v>
      </c>
      <c r="D465" t="s">
        <v>27</v>
      </c>
      <c r="E465">
        <v>1</v>
      </c>
      <c r="F465" s="5">
        <v>80</v>
      </c>
      <c r="G465" s="9">
        <v>0.05</v>
      </c>
      <c r="H465" s="5">
        <v>76</v>
      </c>
      <c r="I465" s="5">
        <v>46</v>
      </c>
      <c r="J465" t="s">
        <v>28</v>
      </c>
      <c r="K465" t="s">
        <v>16</v>
      </c>
      <c r="L465" t="str">
        <f t="shared" si="14"/>
        <v>2025-12</v>
      </c>
      <c r="M465" s="9">
        <f t="shared" si="15"/>
        <v>0.60526315789473684</v>
      </c>
    </row>
    <row r="466" spans="1:13" x14ac:dyDescent="0.3">
      <c r="A466" t="s">
        <v>838</v>
      </c>
      <c r="B466" s="3" t="s">
        <v>839</v>
      </c>
      <c r="C466" t="s">
        <v>13</v>
      </c>
      <c r="D466" t="s">
        <v>38</v>
      </c>
      <c r="E466">
        <v>5</v>
      </c>
      <c r="F466" s="5">
        <v>150</v>
      </c>
      <c r="G466" s="9">
        <v>0</v>
      </c>
      <c r="H466" s="5">
        <v>750</v>
      </c>
      <c r="I466" s="5">
        <v>550</v>
      </c>
      <c r="J466" t="s">
        <v>44</v>
      </c>
      <c r="K466" t="s">
        <v>32</v>
      </c>
      <c r="L466" t="str">
        <f t="shared" si="14"/>
        <v>2025-12</v>
      </c>
      <c r="M466" s="9">
        <f t="shared" si="15"/>
        <v>0.73333333333333328</v>
      </c>
    </row>
    <row r="467" spans="1:13" x14ac:dyDescent="0.3">
      <c r="A467" t="s">
        <v>840</v>
      </c>
      <c r="B467" s="3" t="s">
        <v>841</v>
      </c>
      <c r="C467" t="s">
        <v>13</v>
      </c>
      <c r="D467" t="s">
        <v>51</v>
      </c>
      <c r="E467">
        <v>3</v>
      </c>
      <c r="F467" s="5">
        <v>250</v>
      </c>
      <c r="G467" s="9">
        <v>0</v>
      </c>
      <c r="H467" s="5">
        <v>750</v>
      </c>
      <c r="I467" s="5">
        <v>540</v>
      </c>
      <c r="J467" t="s">
        <v>15</v>
      </c>
      <c r="K467" t="s">
        <v>16</v>
      </c>
      <c r="L467" t="str">
        <f t="shared" si="14"/>
        <v>2025-12</v>
      </c>
      <c r="M467" s="9">
        <f t="shared" si="15"/>
        <v>0.72</v>
      </c>
    </row>
    <row r="468" spans="1:13" x14ac:dyDescent="0.3">
      <c r="A468" t="s">
        <v>842</v>
      </c>
      <c r="B468" s="3" t="s">
        <v>841</v>
      </c>
      <c r="C468" t="s">
        <v>13</v>
      </c>
      <c r="D468" t="s">
        <v>67</v>
      </c>
      <c r="E468">
        <v>7</v>
      </c>
      <c r="F468" s="5">
        <v>35</v>
      </c>
      <c r="G468" s="9">
        <v>0.1</v>
      </c>
      <c r="H468" s="5">
        <v>220.5</v>
      </c>
      <c r="I468" s="5">
        <v>136.5</v>
      </c>
      <c r="J468" t="s">
        <v>44</v>
      </c>
      <c r="K468" t="s">
        <v>32</v>
      </c>
      <c r="L468" t="str">
        <f t="shared" si="14"/>
        <v>2025-12</v>
      </c>
      <c r="M468" s="9">
        <f t="shared" si="15"/>
        <v>0.61904761904761907</v>
      </c>
    </row>
    <row r="469" spans="1:13" x14ac:dyDescent="0.3">
      <c r="A469" t="s">
        <v>843</v>
      </c>
      <c r="B469" s="3" t="s">
        <v>844</v>
      </c>
      <c r="C469" t="s">
        <v>23</v>
      </c>
      <c r="D469" t="s">
        <v>35</v>
      </c>
      <c r="E469">
        <v>9</v>
      </c>
      <c r="F469" s="5">
        <v>15</v>
      </c>
      <c r="G469" s="9">
        <v>0.15</v>
      </c>
      <c r="H469" s="5">
        <v>114.75</v>
      </c>
      <c r="I469" s="5">
        <v>69.75</v>
      </c>
      <c r="J469" t="s">
        <v>20</v>
      </c>
      <c r="K469" t="s">
        <v>29</v>
      </c>
      <c r="L469" t="str">
        <f t="shared" si="14"/>
        <v>2025-12</v>
      </c>
      <c r="M469" s="9">
        <f t="shared" si="15"/>
        <v>0.60784313725490191</v>
      </c>
    </row>
    <row r="470" spans="1:13" x14ac:dyDescent="0.3">
      <c r="A470" t="s">
        <v>845</v>
      </c>
      <c r="B470" s="3" t="s">
        <v>846</v>
      </c>
      <c r="C470" t="s">
        <v>23</v>
      </c>
      <c r="D470" t="s">
        <v>31</v>
      </c>
      <c r="E470">
        <v>2</v>
      </c>
      <c r="F470" s="5">
        <v>25</v>
      </c>
      <c r="G470" s="9">
        <v>0</v>
      </c>
      <c r="H470" s="5">
        <v>50</v>
      </c>
      <c r="I470" s="5">
        <v>34</v>
      </c>
      <c r="J470" t="s">
        <v>28</v>
      </c>
      <c r="K470" t="s">
        <v>16</v>
      </c>
      <c r="L470" t="str">
        <f t="shared" si="14"/>
        <v>2025-12</v>
      </c>
      <c r="M470" s="9">
        <f t="shared" si="15"/>
        <v>0.68</v>
      </c>
    </row>
    <row r="471" spans="1:13" x14ac:dyDescent="0.3">
      <c r="A471" t="s">
        <v>847</v>
      </c>
      <c r="B471" s="3" t="s">
        <v>848</v>
      </c>
      <c r="C471" t="s">
        <v>23</v>
      </c>
      <c r="D471" t="s">
        <v>43</v>
      </c>
      <c r="E471">
        <v>5</v>
      </c>
      <c r="F471" s="5">
        <v>20</v>
      </c>
      <c r="G471" s="9">
        <v>0.05</v>
      </c>
      <c r="H471" s="5">
        <v>95</v>
      </c>
      <c r="I471" s="5">
        <v>60</v>
      </c>
      <c r="J471" t="s">
        <v>44</v>
      </c>
      <c r="K471" t="s">
        <v>29</v>
      </c>
      <c r="L471" t="str">
        <f t="shared" si="14"/>
        <v>2025-12</v>
      </c>
      <c r="M471" s="9">
        <f t="shared" si="15"/>
        <v>0.63157894736842102</v>
      </c>
    </row>
    <row r="472" spans="1:13" x14ac:dyDescent="0.3">
      <c r="A472" t="s">
        <v>849</v>
      </c>
      <c r="B472" s="3" t="s">
        <v>848</v>
      </c>
      <c r="C472" t="s">
        <v>18</v>
      </c>
      <c r="D472" t="s">
        <v>27</v>
      </c>
      <c r="E472">
        <v>3</v>
      </c>
      <c r="F472" s="5">
        <v>80</v>
      </c>
      <c r="G472" s="9">
        <v>0.05</v>
      </c>
      <c r="H472" s="5">
        <v>228</v>
      </c>
      <c r="I472" s="5">
        <v>138</v>
      </c>
      <c r="J472" t="s">
        <v>28</v>
      </c>
      <c r="K472" t="s">
        <v>29</v>
      </c>
      <c r="L472" t="str">
        <f t="shared" si="14"/>
        <v>2025-12</v>
      </c>
      <c r="M472" s="9">
        <f t="shared" si="15"/>
        <v>0.60526315789473684</v>
      </c>
    </row>
    <row r="473" spans="1:13" x14ac:dyDescent="0.3">
      <c r="A473" t="s">
        <v>850</v>
      </c>
      <c r="B473" s="3" t="s">
        <v>851</v>
      </c>
      <c r="C473" t="s">
        <v>13</v>
      </c>
      <c r="D473" t="s">
        <v>14</v>
      </c>
      <c r="E473">
        <v>5</v>
      </c>
      <c r="F473" s="5">
        <v>110</v>
      </c>
      <c r="G473" s="9">
        <v>0.15</v>
      </c>
      <c r="H473" s="5">
        <v>467.5</v>
      </c>
      <c r="I473" s="5">
        <v>317.5</v>
      </c>
      <c r="J473" t="s">
        <v>28</v>
      </c>
      <c r="K473" t="s">
        <v>29</v>
      </c>
      <c r="L473" t="str">
        <f t="shared" si="14"/>
        <v>2025-12</v>
      </c>
      <c r="M473" s="9">
        <f t="shared" si="15"/>
        <v>0.67914438502673802</v>
      </c>
    </row>
    <row r="474" spans="1:13" x14ac:dyDescent="0.3">
      <c r="A474" t="s">
        <v>852</v>
      </c>
      <c r="B474" s="3" t="s">
        <v>853</v>
      </c>
      <c r="C474" t="s">
        <v>23</v>
      </c>
      <c r="D474" t="s">
        <v>58</v>
      </c>
      <c r="E474">
        <v>9</v>
      </c>
      <c r="F474" s="5">
        <v>8</v>
      </c>
      <c r="G474" s="9">
        <v>0.1</v>
      </c>
      <c r="H474" s="5">
        <v>64.8</v>
      </c>
      <c r="I474" s="5">
        <v>37.799999999999997</v>
      </c>
      <c r="J474" t="s">
        <v>44</v>
      </c>
      <c r="K474" t="s">
        <v>32</v>
      </c>
      <c r="L474" t="str">
        <f t="shared" si="14"/>
        <v>2025-12</v>
      </c>
      <c r="M474" s="9">
        <f t="shared" si="15"/>
        <v>0.58333333333333337</v>
      </c>
    </row>
    <row r="475" spans="1:13" x14ac:dyDescent="0.3">
      <c r="A475" t="s">
        <v>854</v>
      </c>
      <c r="B475" s="3" t="s">
        <v>855</v>
      </c>
      <c r="C475" t="s">
        <v>18</v>
      </c>
      <c r="D475" t="s">
        <v>19</v>
      </c>
      <c r="E475">
        <v>9</v>
      </c>
      <c r="F475" s="5">
        <v>40</v>
      </c>
      <c r="G475" s="9">
        <v>0.2</v>
      </c>
      <c r="H475" s="5">
        <v>288</v>
      </c>
      <c r="I475" s="5">
        <v>153</v>
      </c>
      <c r="J475" t="s">
        <v>44</v>
      </c>
      <c r="K475" t="s">
        <v>29</v>
      </c>
      <c r="L475" t="str">
        <f t="shared" si="14"/>
        <v>2025-12</v>
      </c>
      <c r="M475" s="9">
        <f t="shared" si="15"/>
        <v>0.53125</v>
      </c>
    </row>
    <row r="476" spans="1:13" x14ac:dyDescent="0.3">
      <c r="A476" t="s">
        <v>856</v>
      </c>
      <c r="B476" s="3" t="s">
        <v>855</v>
      </c>
      <c r="C476" t="s">
        <v>18</v>
      </c>
      <c r="D476" t="s">
        <v>128</v>
      </c>
      <c r="E476">
        <v>1</v>
      </c>
      <c r="F476" s="5">
        <v>350</v>
      </c>
      <c r="G476" s="9">
        <v>0.05</v>
      </c>
      <c r="H476" s="5">
        <v>332.5</v>
      </c>
      <c r="I476" s="5">
        <v>242.5</v>
      </c>
      <c r="J476" t="s">
        <v>28</v>
      </c>
      <c r="K476" t="s">
        <v>16</v>
      </c>
      <c r="L476" t="str">
        <f t="shared" si="14"/>
        <v>2025-12</v>
      </c>
      <c r="M476" s="9">
        <f t="shared" si="15"/>
        <v>0.72932330827067671</v>
      </c>
    </row>
    <row r="477" spans="1:13" x14ac:dyDescent="0.3">
      <c r="A477" t="s">
        <v>857</v>
      </c>
      <c r="B477" s="3" t="s">
        <v>858</v>
      </c>
      <c r="C477" t="s">
        <v>18</v>
      </c>
      <c r="D477" t="s">
        <v>27</v>
      </c>
      <c r="E477">
        <v>9</v>
      </c>
      <c r="F477" s="5">
        <v>80</v>
      </c>
      <c r="G477" s="9">
        <v>0</v>
      </c>
      <c r="H477" s="5">
        <v>720</v>
      </c>
      <c r="I477" s="5">
        <v>450</v>
      </c>
      <c r="J477" t="s">
        <v>15</v>
      </c>
      <c r="K477" t="s">
        <v>16</v>
      </c>
      <c r="L477" t="str">
        <f t="shared" si="14"/>
        <v>2025-12</v>
      </c>
      <c r="M477" s="9">
        <f t="shared" si="15"/>
        <v>0.625</v>
      </c>
    </row>
    <row r="478" spans="1:13" x14ac:dyDescent="0.3">
      <c r="A478" t="s">
        <v>859</v>
      </c>
      <c r="B478" s="3" t="s">
        <v>860</v>
      </c>
      <c r="C478" t="s">
        <v>18</v>
      </c>
      <c r="D478" t="s">
        <v>77</v>
      </c>
      <c r="E478">
        <v>7</v>
      </c>
      <c r="F478" s="5">
        <v>1200</v>
      </c>
      <c r="G478" s="9">
        <v>0.05</v>
      </c>
      <c r="H478" s="5">
        <v>7980</v>
      </c>
      <c r="I478" s="5">
        <v>5880</v>
      </c>
      <c r="J478" t="s">
        <v>44</v>
      </c>
      <c r="K478" t="s">
        <v>16</v>
      </c>
      <c r="L478" t="str">
        <f t="shared" si="14"/>
        <v>2025-12</v>
      </c>
      <c r="M478" s="9">
        <f t="shared" si="15"/>
        <v>0.73684210526315785</v>
      </c>
    </row>
    <row r="479" spans="1:13" x14ac:dyDescent="0.3">
      <c r="A479" t="s">
        <v>861</v>
      </c>
      <c r="B479" s="3" t="s">
        <v>860</v>
      </c>
      <c r="C479" t="s">
        <v>18</v>
      </c>
      <c r="D479" t="s">
        <v>27</v>
      </c>
      <c r="E479">
        <v>5</v>
      </c>
      <c r="F479" s="5">
        <v>80</v>
      </c>
      <c r="G479" s="9">
        <v>0.05</v>
      </c>
      <c r="H479" s="5">
        <v>380</v>
      </c>
      <c r="I479" s="5">
        <v>230</v>
      </c>
      <c r="J479" t="s">
        <v>28</v>
      </c>
      <c r="K479" t="s">
        <v>32</v>
      </c>
      <c r="L479" t="str">
        <f t="shared" si="14"/>
        <v>2025-12</v>
      </c>
      <c r="M479" s="9">
        <f t="shared" si="15"/>
        <v>0.60526315789473684</v>
      </c>
    </row>
    <row r="480" spans="1:13" x14ac:dyDescent="0.3">
      <c r="A480" t="s">
        <v>862</v>
      </c>
      <c r="B480" s="3" t="s">
        <v>863</v>
      </c>
      <c r="C480" t="s">
        <v>18</v>
      </c>
      <c r="D480" t="s">
        <v>27</v>
      </c>
      <c r="E480">
        <v>8</v>
      </c>
      <c r="F480" s="5">
        <v>80</v>
      </c>
      <c r="G480" s="9">
        <v>0.1</v>
      </c>
      <c r="H480" s="5">
        <v>576</v>
      </c>
      <c r="I480" s="5">
        <v>336</v>
      </c>
      <c r="J480" t="s">
        <v>20</v>
      </c>
      <c r="K480" t="s">
        <v>29</v>
      </c>
      <c r="L480" t="str">
        <f t="shared" si="14"/>
        <v>2025-12</v>
      </c>
      <c r="M480" s="9">
        <f t="shared" si="15"/>
        <v>0.58333333333333337</v>
      </c>
    </row>
    <row r="481" spans="1:13" x14ac:dyDescent="0.3">
      <c r="A481" t="s">
        <v>864</v>
      </c>
      <c r="B481" s="3" t="s">
        <v>865</v>
      </c>
      <c r="C481" t="s">
        <v>13</v>
      </c>
      <c r="D481" t="s">
        <v>67</v>
      </c>
      <c r="E481">
        <v>8</v>
      </c>
      <c r="F481" s="5">
        <v>35</v>
      </c>
      <c r="G481" s="9">
        <v>0</v>
      </c>
      <c r="H481" s="5">
        <v>280</v>
      </c>
      <c r="I481" s="5">
        <v>184</v>
      </c>
      <c r="J481" t="s">
        <v>15</v>
      </c>
      <c r="K481" t="s">
        <v>16</v>
      </c>
      <c r="L481" t="str">
        <f t="shared" si="14"/>
        <v>2025-12</v>
      </c>
      <c r="M481" s="9">
        <f t="shared" si="15"/>
        <v>0.65714285714285714</v>
      </c>
    </row>
    <row r="482" spans="1:13" x14ac:dyDescent="0.3">
      <c r="A482" t="s">
        <v>866</v>
      </c>
      <c r="B482" s="3" t="s">
        <v>867</v>
      </c>
      <c r="C482" t="s">
        <v>13</v>
      </c>
      <c r="D482" t="s">
        <v>67</v>
      </c>
      <c r="E482">
        <v>7</v>
      </c>
      <c r="F482" s="5">
        <v>35</v>
      </c>
      <c r="G482" s="9">
        <v>0.05</v>
      </c>
      <c r="H482" s="5">
        <v>232.75</v>
      </c>
      <c r="I482" s="5">
        <v>148.75</v>
      </c>
      <c r="J482" t="s">
        <v>20</v>
      </c>
      <c r="K482" t="s">
        <v>32</v>
      </c>
      <c r="L482" t="str">
        <f t="shared" si="14"/>
        <v>2025-12</v>
      </c>
      <c r="M482" s="9">
        <f t="shared" si="15"/>
        <v>0.63909774436090228</v>
      </c>
    </row>
    <row r="483" spans="1:13" x14ac:dyDescent="0.3">
      <c r="A483" t="s">
        <v>868</v>
      </c>
      <c r="B483" s="3" t="s">
        <v>867</v>
      </c>
      <c r="C483" t="s">
        <v>18</v>
      </c>
      <c r="D483" t="s">
        <v>128</v>
      </c>
      <c r="E483">
        <v>2</v>
      </c>
      <c r="F483" s="5">
        <v>350</v>
      </c>
      <c r="G483" s="9">
        <v>0.05</v>
      </c>
      <c r="H483" s="5">
        <v>665</v>
      </c>
      <c r="I483" s="5">
        <v>485</v>
      </c>
      <c r="J483" t="s">
        <v>20</v>
      </c>
      <c r="K483" t="s">
        <v>29</v>
      </c>
      <c r="L483" t="str">
        <f t="shared" si="14"/>
        <v>2025-12</v>
      </c>
      <c r="M483" s="9">
        <f t="shared" si="15"/>
        <v>0.72932330827067671</v>
      </c>
    </row>
    <row r="484" spans="1:13" x14ac:dyDescent="0.3">
      <c r="A484" t="s">
        <v>869</v>
      </c>
      <c r="B484" s="3" t="s">
        <v>870</v>
      </c>
      <c r="C484" t="s">
        <v>18</v>
      </c>
      <c r="D484" t="s">
        <v>61</v>
      </c>
      <c r="E484">
        <v>7</v>
      </c>
      <c r="F484" s="5">
        <v>25</v>
      </c>
      <c r="G484" s="9">
        <v>0</v>
      </c>
      <c r="H484" s="5">
        <v>175</v>
      </c>
      <c r="I484" s="5">
        <v>105</v>
      </c>
      <c r="J484" t="s">
        <v>20</v>
      </c>
      <c r="K484" t="s">
        <v>29</v>
      </c>
      <c r="L484" t="str">
        <f t="shared" si="14"/>
        <v>2025-12</v>
      </c>
      <c r="M484" s="9">
        <f t="shared" si="15"/>
        <v>0.6</v>
      </c>
    </row>
    <row r="485" spans="1:13" x14ac:dyDescent="0.3">
      <c r="A485" t="s">
        <v>871</v>
      </c>
      <c r="B485" s="3" t="s">
        <v>872</v>
      </c>
      <c r="C485" t="s">
        <v>13</v>
      </c>
      <c r="D485" t="s">
        <v>38</v>
      </c>
      <c r="E485">
        <v>5</v>
      </c>
      <c r="F485" s="5">
        <v>150</v>
      </c>
      <c r="G485" s="9">
        <v>0.05</v>
      </c>
      <c r="H485" s="5">
        <v>712.5</v>
      </c>
      <c r="I485" s="5">
        <v>512.5</v>
      </c>
      <c r="J485" t="s">
        <v>28</v>
      </c>
      <c r="K485" t="s">
        <v>16</v>
      </c>
      <c r="L485" t="str">
        <f t="shared" si="14"/>
        <v>2025-12</v>
      </c>
      <c r="M485" s="9">
        <f t="shared" si="15"/>
        <v>0.7192982456140351</v>
      </c>
    </row>
    <row r="486" spans="1:13" x14ac:dyDescent="0.3">
      <c r="A486" t="s">
        <v>873</v>
      </c>
      <c r="B486" s="3" t="s">
        <v>874</v>
      </c>
      <c r="C486" t="s">
        <v>13</v>
      </c>
      <c r="D486" t="s">
        <v>51</v>
      </c>
      <c r="E486">
        <v>1</v>
      </c>
      <c r="F486" s="5">
        <v>250</v>
      </c>
      <c r="G486" s="9">
        <v>0.15</v>
      </c>
      <c r="H486" s="5">
        <v>212.5</v>
      </c>
      <c r="I486" s="5">
        <v>142.5</v>
      </c>
      <c r="J486" t="s">
        <v>44</v>
      </c>
      <c r="K486" t="s">
        <v>29</v>
      </c>
      <c r="L486" t="str">
        <f t="shared" si="14"/>
        <v>2025-12</v>
      </c>
      <c r="M486" s="9">
        <f t="shared" si="15"/>
        <v>0.6705882352941176</v>
      </c>
    </row>
    <row r="487" spans="1:13" x14ac:dyDescent="0.3">
      <c r="A487" t="s">
        <v>875</v>
      </c>
      <c r="B487" s="3" t="s">
        <v>874</v>
      </c>
      <c r="C487" t="s">
        <v>13</v>
      </c>
      <c r="D487" t="s">
        <v>51</v>
      </c>
      <c r="E487">
        <v>2</v>
      </c>
      <c r="F487" s="5">
        <v>250</v>
      </c>
      <c r="G487" s="9">
        <v>0.05</v>
      </c>
      <c r="H487" s="5">
        <v>475</v>
      </c>
      <c r="I487" s="5">
        <v>335</v>
      </c>
      <c r="J487" t="s">
        <v>28</v>
      </c>
      <c r="K487" t="s">
        <v>29</v>
      </c>
      <c r="L487" t="str">
        <f t="shared" si="14"/>
        <v>2025-12</v>
      </c>
      <c r="M487" s="9">
        <f t="shared" si="15"/>
        <v>0.70526315789473681</v>
      </c>
    </row>
    <row r="488" spans="1:13" x14ac:dyDescent="0.3">
      <c r="A488" t="s">
        <v>876</v>
      </c>
      <c r="B488" s="3" t="s">
        <v>877</v>
      </c>
      <c r="C488" t="s">
        <v>18</v>
      </c>
      <c r="D488" t="s">
        <v>77</v>
      </c>
      <c r="E488">
        <v>2</v>
      </c>
      <c r="F488" s="5">
        <v>1200</v>
      </c>
      <c r="G488" s="9">
        <v>0</v>
      </c>
      <c r="H488" s="5">
        <v>2400</v>
      </c>
      <c r="I488" s="5">
        <v>1800</v>
      </c>
      <c r="J488" t="s">
        <v>20</v>
      </c>
      <c r="K488" t="s">
        <v>16</v>
      </c>
      <c r="L488" t="str">
        <f t="shared" si="14"/>
        <v>2025-12</v>
      </c>
      <c r="M488" s="9">
        <f t="shared" si="15"/>
        <v>0.75</v>
      </c>
    </row>
    <row r="489" spans="1:13" x14ac:dyDescent="0.3">
      <c r="A489" t="s">
        <v>878</v>
      </c>
      <c r="B489" s="3" t="s">
        <v>879</v>
      </c>
      <c r="C489" t="s">
        <v>23</v>
      </c>
      <c r="D489" t="s">
        <v>31</v>
      </c>
      <c r="E489">
        <v>6</v>
      </c>
      <c r="F489" s="5">
        <v>25</v>
      </c>
      <c r="G489" s="9">
        <v>0</v>
      </c>
      <c r="H489" s="5">
        <v>150</v>
      </c>
      <c r="I489" s="5">
        <v>102</v>
      </c>
      <c r="J489" t="s">
        <v>28</v>
      </c>
      <c r="K489" t="s">
        <v>29</v>
      </c>
      <c r="L489" t="str">
        <f t="shared" si="14"/>
        <v>2025-12</v>
      </c>
      <c r="M489" s="9">
        <f t="shared" si="15"/>
        <v>0.68</v>
      </c>
    </row>
    <row r="490" spans="1:13" x14ac:dyDescent="0.3">
      <c r="A490" t="s">
        <v>880</v>
      </c>
      <c r="B490" s="3" t="s">
        <v>879</v>
      </c>
      <c r="C490" t="s">
        <v>13</v>
      </c>
      <c r="D490" t="s">
        <v>14</v>
      </c>
      <c r="E490">
        <v>3</v>
      </c>
      <c r="F490" s="5">
        <v>110</v>
      </c>
      <c r="G490" s="9">
        <v>0</v>
      </c>
      <c r="H490" s="5">
        <v>330</v>
      </c>
      <c r="I490" s="5">
        <v>240</v>
      </c>
      <c r="J490" t="s">
        <v>44</v>
      </c>
      <c r="K490" t="s">
        <v>16</v>
      </c>
      <c r="L490" t="str">
        <f t="shared" si="14"/>
        <v>2025-12</v>
      </c>
      <c r="M490" s="9">
        <f t="shared" si="15"/>
        <v>0.72727272727272729</v>
      </c>
    </row>
    <row r="491" spans="1:13" x14ac:dyDescent="0.3">
      <c r="A491" t="s">
        <v>881</v>
      </c>
      <c r="B491" s="3" t="s">
        <v>882</v>
      </c>
      <c r="C491" t="s">
        <v>18</v>
      </c>
      <c r="D491" t="s">
        <v>77</v>
      </c>
      <c r="E491">
        <v>1</v>
      </c>
      <c r="F491" s="5">
        <v>1200</v>
      </c>
      <c r="G491" s="9">
        <v>0.2</v>
      </c>
      <c r="H491" s="5">
        <v>960</v>
      </c>
      <c r="I491" s="5">
        <v>660</v>
      </c>
      <c r="J491" t="s">
        <v>20</v>
      </c>
      <c r="K491" t="s">
        <v>32</v>
      </c>
      <c r="L491" t="str">
        <f t="shared" si="14"/>
        <v>2025-12</v>
      </c>
      <c r="M491" s="9">
        <f t="shared" si="15"/>
        <v>0.6875</v>
      </c>
    </row>
    <row r="492" spans="1:13" x14ac:dyDescent="0.3">
      <c r="A492" t="s">
        <v>883</v>
      </c>
      <c r="B492" s="3" t="s">
        <v>884</v>
      </c>
      <c r="C492" t="s">
        <v>18</v>
      </c>
      <c r="D492" t="s">
        <v>77</v>
      </c>
      <c r="E492">
        <v>4</v>
      </c>
      <c r="F492" s="5">
        <v>1200</v>
      </c>
      <c r="G492" s="9">
        <v>0.2</v>
      </c>
      <c r="H492" s="5">
        <v>3840</v>
      </c>
      <c r="I492" s="5">
        <v>2640</v>
      </c>
      <c r="J492" t="s">
        <v>28</v>
      </c>
      <c r="K492" t="s">
        <v>29</v>
      </c>
      <c r="L492" t="str">
        <f t="shared" si="14"/>
        <v>2025-12</v>
      </c>
      <c r="M492" s="9">
        <f t="shared" si="15"/>
        <v>0.6875</v>
      </c>
    </row>
    <row r="493" spans="1:13" x14ac:dyDescent="0.3">
      <c r="A493" t="s">
        <v>885</v>
      </c>
      <c r="B493" s="3" t="s">
        <v>886</v>
      </c>
      <c r="C493" t="s">
        <v>23</v>
      </c>
      <c r="D493" t="s">
        <v>35</v>
      </c>
      <c r="E493">
        <v>5</v>
      </c>
      <c r="F493" s="5">
        <v>15</v>
      </c>
      <c r="G493" s="9">
        <v>0</v>
      </c>
      <c r="H493" s="5">
        <v>75</v>
      </c>
      <c r="I493" s="5">
        <v>50</v>
      </c>
      <c r="J493" t="s">
        <v>20</v>
      </c>
      <c r="K493" t="s">
        <v>16</v>
      </c>
      <c r="L493" t="str">
        <f t="shared" si="14"/>
        <v>2025-12</v>
      </c>
      <c r="M493" s="9">
        <f t="shared" si="15"/>
        <v>0.66666666666666663</v>
      </c>
    </row>
    <row r="494" spans="1:13" x14ac:dyDescent="0.3">
      <c r="A494" t="s">
        <v>887</v>
      </c>
      <c r="B494" s="3" t="s">
        <v>886</v>
      </c>
      <c r="C494" t="s">
        <v>13</v>
      </c>
      <c r="D494" t="s">
        <v>41</v>
      </c>
      <c r="E494">
        <v>6</v>
      </c>
      <c r="F494" s="5">
        <v>450</v>
      </c>
      <c r="G494" s="9">
        <v>0</v>
      </c>
      <c r="H494" s="5">
        <v>2700</v>
      </c>
      <c r="I494" s="5">
        <v>1980</v>
      </c>
      <c r="J494" t="s">
        <v>20</v>
      </c>
      <c r="K494" t="s">
        <v>32</v>
      </c>
      <c r="L494" t="str">
        <f t="shared" si="14"/>
        <v>2025-12</v>
      </c>
      <c r="M494" s="9">
        <f t="shared" si="15"/>
        <v>0.73333333333333328</v>
      </c>
    </row>
    <row r="495" spans="1:13" x14ac:dyDescent="0.3">
      <c r="A495" t="s">
        <v>888</v>
      </c>
      <c r="B495" s="3" t="s">
        <v>889</v>
      </c>
      <c r="C495" t="s">
        <v>23</v>
      </c>
      <c r="D495" t="s">
        <v>58</v>
      </c>
      <c r="E495">
        <v>5</v>
      </c>
      <c r="F495" s="5">
        <v>8</v>
      </c>
      <c r="G495" s="9">
        <v>0.2</v>
      </c>
      <c r="H495" s="5">
        <v>32</v>
      </c>
      <c r="I495" s="5">
        <v>17</v>
      </c>
      <c r="J495" t="s">
        <v>28</v>
      </c>
      <c r="K495" t="s">
        <v>16</v>
      </c>
      <c r="L495" t="str">
        <f t="shared" si="14"/>
        <v>2025-12</v>
      </c>
      <c r="M495" s="9">
        <f t="shared" si="15"/>
        <v>0.53125</v>
      </c>
    </row>
    <row r="496" spans="1:13" x14ac:dyDescent="0.3">
      <c r="A496" t="s">
        <v>890</v>
      </c>
      <c r="B496" s="3" t="s">
        <v>891</v>
      </c>
      <c r="C496" t="s">
        <v>23</v>
      </c>
      <c r="D496" t="s">
        <v>43</v>
      </c>
      <c r="E496">
        <v>1</v>
      </c>
      <c r="F496" s="5">
        <v>20</v>
      </c>
      <c r="G496" s="9">
        <v>0</v>
      </c>
      <c r="H496" s="5">
        <v>20</v>
      </c>
      <c r="I496" s="5">
        <v>13</v>
      </c>
      <c r="J496" t="s">
        <v>20</v>
      </c>
      <c r="K496" t="s">
        <v>32</v>
      </c>
      <c r="L496" t="str">
        <f t="shared" si="14"/>
        <v>2025-12</v>
      </c>
      <c r="M496" s="9">
        <f t="shared" si="15"/>
        <v>0.65</v>
      </c>
    </row>
    <row r="497" spans="1:13" x14ac:dyDescent="0.3">
      <c r="A497" t="s">
        <v>892</v>
      </c>
      <c r="B497" s="3" t="s">
        <v>893</v>
      </c>
      <c r="C497" t="s">
        <v>23</v>
      </c>
      <c r="D497" t="s">
        <v>31</v>
      </c>
      <c r="E497">
        <v>6</v>
      </c>
      <c r="F497" s="5">
        <v>25</v>
      </c>
      <c r="G497" s="9">
        <v>0.05</v>
      </c>
      <c r="H497" s="5">
        <v>142.5</v>
      </c>
      <c r="I497" s="5">
        <v>94.5</v>
      </c>
      <c r="J497" t="s">
        <v>28</v>
      </c>
      <c r="K497" t="s">
        <v>29</v>
      </c>
      <c r="L497" t="str">
        <f t="shared" si="14"/>
        <v>2025-12</v>
      </c>
      <c r="M497" s="9">
        <f t="shared" si="15"/>
        <v>0.66315789473684206</v>
      </c>
    </row>
    <row r="498" spans="1:13" x14ac:dyDescent="0.3">
      <c r="A498" t="s">
        <v>894</v>
      </c>
      <c r="B498" s="3" t="s">
        <v>893</v>
      </c>
      <c r="C498" t="s">
        <v>13</v>
      </c>
      <c r="D498" t="s">
        <v>67</v>
      </c>
      <c r="E498">
        <v>5</v>
      </c>
      <c r="F498" s="5">
        <v>35</v>
      </c>
      <c r="G498" s="9">
        <v>0</v>
      </c>
      <c r="H498" s="5">
        <v>175</v>
      </c>
      <c r="I498" s="5">
        <v>115</v>
      </c>
      <c r="J498" t="s">
        <v>44</v>
      </c>
      <c r="K498" t="s">
        <v>32</v>
      </c>
      <c r="L498" t="str">
        <f t="shared" si="14"/>
        <v>2025-12</v>
      </c>
      <c r="M498" s="9">
        <f t="shared" si="15"/>
        <v>0.65714285714285714</v>
      </c>
    </row>
    <row r="499" spans="1:13" x14ac:dyDescent="0.3">
      <c r="A499" t="s">
        <v>895</v>
      </c>
      <c r="B499" s="3" t="s">
        <v>896</v>
      </c>
      <c r="C499" t="s">
        <v>23</v>
      </c>
      <c r="D499" t="s">
        <v>58</v>
      </c>
      <c r="E499">
        <v>6</v>
      </c>
      <c r="F499" s="5">
        <v>8</v>
      </c>
      <c r="G499" s="9">
        <v>0</v>
      </c>
      <c r="H499" s="5">
        <v>48</v>
      </c>
      <c r="I499" s="5">
        <v>30</v>
      </c>
      <c r="J499" t="s">
        <v>15</v>
      </c>
      <c r="K499" t="s">
        <v>29</v>
      </c>
      <c r="L499" t="str">
        <f t="shared" si="14"/>
        <v>2025-12</v>
      </c>
      <c r="M499" s="9">
        <f t="shared" si="15"/>
        <v>0.625</v>
      </c>
    </row>
    <row r="500" spans="1:13" x14ac:dyDescent="0.3">
      <c r="A500" t="s">
        <v>897</v>
      </c>
      <c r="B500" s="3" t="s">
        <v>898</v>
      </c>
      <c r="C500" t="s">
        <v>23</v>
      </c>
      <c r="D500" t="s">
        <v>24</v>
      </c>
      <c r="E500">
        <v>4</v>
      </c>
      <c r="F500" s="5">
        <v>10</v>
      </c>
      <c r="G500" s="9">
        <v>0</v>
      </c>
      <c r="H500" s="5">
        <v>40</v>
      </c>
      <c r="I500" s="5">
        <v>24</v>
      </c>
      <c r="J500" t="s">
        <v>44</v>
      </c>
      <c r="K500" t="s">
        <v>32</v>
      </c>
      <c r="L500" t="str">
        <f t="shared" si="14"/>
        <v>2025-12</v>
      </c>
      <c r="M500" s="9">
        <f t="shared" si="15"/>
        <v>0.6</v>
      </c>
    </row>
    <row r="501" spans="1:13" x14ac:dyDescent="0.3">
      <c r="A501" t="s">
        <v>899</v>
      </c>
      <c r="B501" s="3" t="s">
        <v>900</v>
      </c>
      <c r="C501" t="s">
        <v>23</v>
      </c>
      <c r="D501" t="s">
        <v>35</v>
      </c>
      <c r="E501">
        <v>7</v>
      </c>
      <c r="F501" s="5">
        <v>15</v>
      </c>
      <c r="G501" s="9">
        <v>0</v>
      </c>
      <c r="H501" s="5">
        <v>105</v>
      </c>
      <c r="I501" s="5">
        <v>70</v>
      </c>
      <c r="J501" t="s">
        <v>44</v>
      </c>
      <c r="K501" t="s">
        <v>29</v>
      </c>
      <c r="L501" t="str">
        <f t="shared" si="14"/>
        <v>2025-12</v>
      </c>
      <c r="M501" s="9">
        <f t="shared" si="15"/>
        <v>0.66666666666666663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4A4E-CEA5-4256-ABF5-009865BA06FE}">
  <dimension ref="A1:H5"/>
  <sheetViews>
    <sheetView zoomScale="66" workbookViewId="0">
      <selection activeCell="O18" sqref="O18"/>
    </sheetView>
  </sheetViews>
  <sheetFormatPr defaultRowHeight="14.4" x14ac:dyDescent="0.3"/>
  <cols>
    <col min="1" max="1" width="18.77734375" customWidth="1"/>
    <col min="2" max="2" width="8.109375" customWidth="1"/>
    <col min="3" max="3" width="19.21875" customWidth="1"/>
    <col min="5" max="5" width="18.21875" customWidth="1"/>
    <col min="7" max="7" width="17.88671875" customWidth="1"/>
  </cols>
  <sheetData>
    <row r="1" spans="1:8" x14ac:dyDescent="0.3">
      <c r="A1" s="38" t="s">
        <v>904</v>
      </c>
      <c r="B1" s="39"/>
      <c r="C1" s="39"/>
      <c r="D1" s="39"/>
      <c r="E1" s="39"/>
      <c r="F1" s="39"/>
      <c r="G1" s="39"/>
      <c r="H1" s="39"/>
    </row>
    <row r="2" spans="1:8" x14ac:dyDescent="0.3">
      <c r="A2" s="39"/>
      <c r="B2" s="39"/>
      <c r="C2" s="39"/>
      <c r="D2" s="39"/>
      <c r="E2" s="39"/>
      <c r="F2" s="39"/>
      <c r="G2" s="39"/>
      <c r="H2" s="39"/>
    </row>
    <row r="4" spans="1:8" x14ac:dyDescent="0.3">
      <c r="A4" s="11" t="s">
        <v>905</v>
      </c>
      <c r="C4" s="12" t="s">
        <v>906</v>
      </c>
      <c r="E4" s="14" t="s">
        <v>907</v>
      </c>
      <c r="G4" s="13" t="s">
        <v>908</v>
      </c>
    </row>
    <row r="5" spans="1:8" ht="18" x14ac:dyDescent="0.35">
      <c r="A5" s="15">
        <f>SUM(Cleaned_Data!H:H)</f>
        <v>421454.05</v>
      </c>
      <c r="C5" s="16">
        <f>SUM(Cleaned_Data!I:I)</f>
        <v>300408.05</v>
      </c>
      <c r="E5" s="17">
        <f>COUNTA(Cleaned_Data!A:A)-1</f>
        <v>500</v>
      </c>
      <c r="G5" s="18">
        <f>C5/A5</f>
        <v>0.71278956745106614</v>
      </c>
    </row>
  </sheetData>
  <mergeCells count="1">
    <mergeCell ref="A1:H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9645-822D-4534-9FE8-82E593B0E016}">
  <dimension ref="B4:Q5"/>
  <sheetViews>
    <sheetView showGridLines="0" tabSelected="1" zoomScale="59" workbookViewId="0">
      <selection activeCell="U12" sqref="U12"/>
    </sheetView>
  </sheetViews>
  <sheetFormatPr defaultRowHeight="14.4" x14ac:dyDescent="0.3"/>
  <cols>
    <col min="2" max="2" width="11.77734375" bestFit="1" customWidth="1"/>
    <col min="6" max="6" width="8.88671875" customWidth="1"/>
  </cols>
  <sheetData>
    <row r="4" spans="2:17" ht="15.6" x14ac:dyDescent="0.3">
      <c r="B4" s="33" t="s">
        <v>926</v>
      </c>
      <c r="C4" s="34"/>
      <c r="D4" s="34"/>
      <c r="E4" s="25"/>
      <c r="F4" s="30" t="s">
        <v>929</v>
      </c>
      <c r="G4" s="26"/>
      <c r="H4" s="26"/>
      <c r="I4" s="25"/>
      <c r="J4" s="31" t="s">
        <v>927</v>
      </c>
      <c r="K4" s="27"/>
      <c r="L4" s="27"/>
      <c r="N4" s="32" t="s">
        <v>928</v>
      </c>
      <c r="O4" s="28"/>
      <c r="P4" s="28"/>
      <c r="Q4" s="29"/>
    </row>
    <row r="5" spans="2:17" ht="18" x14ac:dyDescent="0.35">
      <c r="B5" s="40">
        <f>421454.05/500</f>
        <v>842.90809999999999</v>
      </c>
      <c r="C5" s="34"/>
      <c r="D5" s="35"/>
      <c r="E5" s="5"/>
      <c r="F5" s="41">
        <f>300408.05/500</f>
        <v>600.81610000000001</v>
      </c>
      <c r="G5" s="13"/>
      <c r="H5" s="13"/>
      <c r="J5" s="36" t="s">
        <v>77</v>
      </c>
      <c r="K5" s="14"/>
      <c r="L5" s="14"/>
      <c r="N5" s="37">
        <v>71</v>
      </c>
      <c r="O5" s="29"/>
      <c r="P5" s="29"/>
      <c r="Q5" s="2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3952-CB5C-4CFA-968D-DD2E4EB262FD}">
  <dimension ref="A3:I62"/>
  <sheetViews>
    <sheetView topLeftCell="A30" workbookViewId="0">
      <selection activeCell="A49" sqref="A49"/>
    </sheetView>
  </sheetViews>
  <sheetFormatPr defaultRowHeight="14.4" x14ac:dyDescent="0.3"/>
  <cols>
    <col min="1" max="1" width="18.6640625" bestFit="1" customWidth="1"/>
    <col min="2" max="3" width="12.109375" bestFit="1" customWidth="1"/>
    <col min="5" max="5" width="14.44140625" bestFit="1" customWidth="1"/>
    <col min="6" max="6" width="12.109375" bestFit="1" customWidth="1"/>
    <col min="7" max="7" width="12.5546875" bestFit="1" customWidth="1"/>
    <col min="8" max="8" width="12.109375" bestFit="1" customWidth="1"/>
    <col min="9" max="9" width="23.88671875" bestFit="1" customWidth="1"/>
  </cols>
  <sheetData>
    <row r="3" spans="1:7" x14ac:dyDescent="0.3">
      <c r="A3" s="19" t="s">
        <v>909</v>
      </c>
      <c r="B3" t="s">
        <v>923</v>
      </c>
      <c r="E3" s="19" t="s">
        <v>909</v>
      </c>
      <c r="F3" t="s">
        <v>923</v>
      </c>
      <c r="G3" t="s">
        <v>924</v>
      </c>
    </row>
    <row r="4" spans="1:7" x14ac:dyDescent="0.3">
      <c r="A4" s="20" t="s">
        <v>910</v>
      </c>
      <c r="B4" s="5">
        <v>17158.849999999999</v>
      </c>
      <c r="E4" s="20" t="s">
        <v>13</v>
      </c>
      <c r="F4" s="5">
        <v>159727.75</v>
      </c>
      <c r="G4" s="5">
        <v>114061.75</v>
      </c>
    </row>
    <row r="5" spans="1:7" x14ac:dyDescent="0.3">
      <c r="A5" s="20" t="s">
        <v>911</v>
      </c>
      <c r="B5" s="5">
        <v>50738.85</v>
      </c>
      <c r="E5" s="20" t="s">
        <v>23</v>
      </c>
      <c r="F5" s="5">
        <v>12077.800000000003</v>
      </c>
      <c r="G5" s="5">
        <v>7652.8</v>
      </c>
    </row>
    <row r="6" spans="1:7" x14ac:dyDescent="0.3">
      <c r="A6" s="20" t="s">
        <v>912</v>
      </c>
      <c r="B6" s="5">
        <v>48978.5</v>
      </c>
      <c r="E6" s="20" t="s">
        <v>18</v>
      </c>
      <c r="F6" s="5">
        <v>249648.5</v>
      </c>
      <c r="G6" s="5">
        <v>178693.5</v>
      </c>
    </row>
    <row r="7" spans="1:7" x14ac:dyDescent="0.3">
      <c r="A7" s="20" t="s">
        <v>913</v>
      </c>
      <c r="B7" s="5">
        <v>28628.25</v>
      </c>
      <c r="E7" s="20" t="s">
        <v>922</v>
      </c>
      <c r="F7" s="5">
        <v>421454.05</v>
      </c>
      <c r="G7" s="5">
        <v>300408.05</v>
      </c>
    </row>
    <row r="8" spans="1:7" x14ac:dyDescent="0.3">
      <c r="A8" s="20" t="s">
        <v>914</v>
      </c>
      <c r="B8" s="5">
        <v>47813.65</v>
      </c>
    </row>
    <row r="9" spans="1:7" x14ac:dyDescent="0.3">
      <c r="A9" s="20" t="s">
        <v>915</v>
      </c>
      <c r="B9" s="5">
        <v>25164.15</v>
      </c>
    </row>
    <row r="10" spans="1:7" x14ac:dyDescent="0.3">
      <c r="A10" s="20" t="s">
        <v>916</v>
      </c>
      <c r="B10" s="5">
        <v>38581.5</v>
      </c>
    </row>
    <row r="11" spans="1:7" x14ac:dyDescent="0.3">
      <c r="A11" s="20" t="s">
        <v>917</v>
      </c>
      <c r="B11" s="5">
        <v>22442.1</v>
      </c>
    </row>
    <row r="12" spans="1:7" x14ac:dyDescent="0.3">
      <c r="A12" s="20" t="s">
        <v>918</v>
      </c>
      <c r="B12" s="5">
        <v>34641.449999999997</v>
      </c>
    </row>
    <row r="13" spans="1:7" x14ac:dyDescent="0.3">
      <c r="A13" s="20" t="s">
        <v>919</v>
      </c>
      <c r="B13" s="5">
        <v>42272.75</v>
      </c>
    </row>
    <row r="14" spans="1:7" x14ac:dyDescent="0.3">
      <c r="A14" s="20" t="s">
        <v>920</v>
      </c>
      <c r="B14" s="5">
        <v>34395.300000000003</v>
      </c>
    </row>
    <row r="15" spans="1:7" x14ac:dyDescent="0.3">
      <c r="A15" s="20" t="s">
        <v>921</v>
      </c>
      <c r="B15" s="5">
        <v>30638.7</v>
      </c>
    </row>
    <row r="16" spans="1:7" x14ac:dyDescent="0.3">
      <c r="A16" s="20" t="s">
        <v>922</v>
      </c>
      <c r="B16" s="5">
        <v>421454.05</v>
      </c>
    </row>
    <row r="20" spans="1:6" x14ac:dyDescent="0.3">
      <c r="A20" s="19" t="s">
        <v>909</v>
      </c>
      <c r="B20" t="s">
        <v>923</v>
      </c>
      <c r="E20" s="19" t="s">
        <v>909</v>
      </c>
      <c r="F20" t="s">
        <v>923</v>
      </c>
    </row>
    <row r="21" spans="1:6" x14ac:dyDescent="0.3">
      <c r="A21" s="20" t="s">
        <v>20</v>
      </c>
      <c r="B21" s="5">
        <v>101805.09999999999</v>
      </c>
      <c r="E21" s="20" t="s">
        <v>128</v>
      </c>
      <c r="F21" s="5">
        <v>47512.5</v>
      </c>
    </row>
    <row r="22" spans="1:6" x14ac:dyDescent="0.3">
      <c r="A22" s="20" t="s">
        <v>15</v>
      </c>
      <c r="B22" s="5">
        <v>116747.20000000001</v>
      </c>
      <c r="E22" s="20" t="s">
        <v>51</v>
      </c>
      <c r="F22" s="5">
        <v>37075</v>
      </c>
    </row>
    <row r="23" spans="1:6" x14ac:dyDescent="0.3">
      <c r="A23" s="20" t="s">
        <v>44</v>
      </c>
      <c r="B23" s="5">
        <v>118323.6</v>
      </c>
      <c r="E23" s="20" t="s">
        <v>14</v>
      </c>
      <c r="F23" s="5">
        <v>19338</v>
      </c>
    </row>
    <row r="24" spans="1:6" x14ac:dyDescent="0.3">
      <c r="A24" s="20" t="s">
        <v>901</v>
      </c>
      <c r="B24" s="5">
        <v>9720</v>
      </c>
      <c r="E24" s="20" t="s">
        <v>77</v>
      </c>
      <c r="F24" s="5">
        <v>178440</v>
      </c>
    </row>
    <row r="25" spans="1:6" x14ac:dyDescent="0.3">
      <c r="A25" s="20" t="s">
        <v>28</v>
      </c>
      <c r="B25" s="5">
        <v>74858.149999999994</v>
      </c>
      <c r="E25" s="20" t="s">
        <v>41</v>
      </c>
      <c r="F25" s="5">
        <v>78007.5</v>
      </c>
    </row>
    <row r="26" spans="1:6" x14ac:dyDescent="0.3">
      <c r="A26" s="20" t="s">
        <v>922</v>
      </c>
      <c r="B26" s="5">
        <v>421454.05000000005</v>
      </c>
      <c r="E26" s="20" t="s">
        <v>922</v>
      </c>
      <c r="F26" s="5">
        <v>360373</v>
      </c>
    </row>
    <row r="35" spans="1:9" x14ac:dyDescent="0.3">
      <c r="A35" s="21" t="s">
        <v>909</v>
      </c>
      <c r="B35" s="22" t="s">
        <v>923</v>
      </c>
      <c r="C35" t="s">
        <v>924</v>
      </c>
      <c r="G35" s="24" t="s">
        <v>909</v>
      </c>
      <c r="H35" t="s">
        <v>923</v>
      </c>
      <c r="I35" s="9" t="s">
        <v>925</v>
      </c>
    </row>
    <row r="36" spans="1:9" x14ac:dyDescent="0.3">
      <c r="A36" s="20" t="s">
        <v>29</v>
      </c>
      <c r="B36" s="5">
        <v>195827.75</v>
      </c>
      <c r="C36" s="5">
        <v>139435.75</v>
      </c>
      <c r="G36" s="23">
        <v>0</v>
      </c>
      <c r="H36" s="5">
        <v>181782</v>
      </c>
      <c r="I36" s="9">
        <v>0.67440517612364459</v>
      </c>
    </row>
    <row r="37" spans="1:9" x14ac:dyDescent="0.3">
      <c r="A37" s="20" t="s">
        <v>16</v>
      </c>
      <c r="B37" s="5">
        <v>137305.35</v>
      </c>
      <c r="C37" s="5">
        <v>97637.35</v>
      </c>
      <c r="G37" s="23">
        <v>0.05</v>
      </c>
      <c r="H37" s="5">
        <v>99214.2</v>
      </c>
      <c r="I37" s="9">
        <v>0.65434339901904215</v>
      </c>
    </row>
    <row r="38" spans="1:9" x14ac:dyDescent="0.3">
      <c r="A38" s="20" t="s">
        <v>32</v>
      </c>
      <c r="B38" s="5">
        <v>88257.2</v>
      </c>
      <c r="C38" s="5">
        <v>63296.200000000004</v>
      </c>
      <c r="G38" s="23">
        <v>0.1</v>
      </c>
      <c r="H38" s="5">
        <v>68421.600000000006</v>
      </c>
      <c r="I38" s="9">
        <v>0.63608011706603307</v>
      </c>
    </row>
    <row r="39" spans="1:9" x14ac:dyDescent="0.3">
      <c r="A39" s="20" t="s">
        <v>901</v>
      </c>
      <c r="B39" s="5">
        <v>63.75</v>
      </c>
      <c r="C39" s="5">
        <v>38.75</v>
      </c>
      <c r="G39" s="23">
        <v>0.15</v>
      </c>
      <c r="H39" s="5">
        <v>48325.049999999996</v>
      </c>
      <c r="I39" s="9">
        <v>0.63223182046711479</v>
      </c>
    </row>
    <row r="40" spans="1:9" x14ac:dyDescent="0.3">
      <c r="A40" s="20" t="s">
        <v>922</v>
      </c>
      <c r="B40" s="5">
        <v>421454.05</v>
      </c>
      <c r="C40" s="5">
        <v>300408.05</v>
      </c>
      <c r="G40" s="23">
        <v>0.2</v>
      </c>
      <c r="H40" s="5">
        <v>23711.200000000001</v>
      </c>
      <c r="I40" s="9">
        <v>0.6138722605519481</v>
      </c>
    </row>
    <row r="41" spans="1:9" x14ac:dyDescent="0.3">
      <c r="G41" s="23" t="s">
        <v>922</v>
      </c>
      <c r="H41" s="5">
        <v>421454.05</v>
      </c>
      <c r="I41" s="9">
        <v>0.65662345090667595</v>
      </c>
    </row>
    <row r="46" spans="1:9" x14ac:dyDescent="0.3">
      <c r="A46" s="19" t="s">
        <v>909</v>
      </c>
      <c r="B46" t="s">
        <v>923</v>
      </c>
    </row>
    <row r="47" spans="1:9" x14ac:dyDescent="0.3">
      <c r="A47" s="20" t="s">
        <v>77</v>
      </c>
      <c r="B47" s="5">
        <v>178440</v>
      </c>
    </row>
    <row r="48" spans="1:9" x14ac:dyDescent="0.3">
      <c r="A48" s="20" t="s">
        <v>41</v>
      </c>
      <c r="B48" s="5">
        <v>78007.5</v>
      </c>
    </row>
    <row r="49" spans="1:2" x14ac:dyDescent="0.3">
      <c r="A49" s="20" t="s">
        <v>128</v>
      </c>
      <c r="B49" s="5">
        <v>47512.5</v>
      </c>
    </row>
    <row r="50" spans="1:2" x14ac:dyDescent="0.3">
      <c r="A50" s="20" t="s">
        <v>51</v>
      </c>
      <c r="B50" s="5">
        <v>37075</v>
      </c>
    </row>
    <row r="51" spans="1:2" x14ac:dyDescent="0.3">
      <c r="A51" s="20" t="s">
        <v>14</v>
      </c>
      <c r="B51" s="5">
        <v>19338</v>
      </c>
    </row>
    <row r="52" spans="1:2" x14ac:dyDescent="0.3">
      <c r="A52" s="20" t="s">
        <v>38</v>
      </c>
      <c r="B52" s="5">
        <v>19327.5</v>
      </c>
    </row>
    <row r="53" spans="1:2" x14ac:dyDescent="0.3">
      <c r="A53" s="20" t="s">
        <v>27</v>
      </c>
      <c r="B53" s="5">
        <v>14544</v>
      </c>
    </row>
    <row r="54" spans="1:2" x14ac:dyDescent="0.3">
      <c r="A54" s="20" t="s">
        <v>67</v>
      </c>
      <c r="B54" s="5">
        <v>5979.75</v>
      </c>
    </row>
    <row r="55" spans="1:2" x14ac:dyDescent="0.3">
      <c r="A55" s="20" t="s">
        <v>61</v>
      </c>
      <c r="B55" s="5">
        <v>4580</v>
      </c>
    </row>
    <row r="56" spans="1:2" x14ac:dyDescent="0.3">
      <c r="A56" s="20" t="s">
        <v>19</v>
      </c>
      <c r="B56" s="5">
        <v>4572</v>
      </c>
    </row>
    <row r="57" spans="1:2" x14ac:dyDescent="0.3">
      <c r="A57" s="20" t="s">
        <v>31</v>
      </c>
      <c r="B57" s="5">
        <v>3647.5</v>
      </c>
    </row>
    <row r="58" spans="1:2" x14ac:dyDescent="0.3">
      <c r="A58" s="20" t="s">
        <v>43</v>
      </c>
      <c r="B58" s="5">
        <v>3232</v>
      </c>
    </row>
    <row r="59" spans="1:2" x14ac:dyDescent="0.3">
      <c r="A59" s="20" t="s">
        <v>35</v>
      </c>
      <c r="B59" s="5">
        <v>2259</v>
      </c>
    </row>
    <row r="60" spans="1:2" x14ac:dyDescent="0.3">
      <c r="A60" s="20" t="s">
        <v>24</v>
      </c>
      <c r="B60" s="5">
        <v>1484.5</v>
      </c>
    </row>
    <row r="61" spans="1:2" x14ac:dyDescent="0.3">
      <c r="A61" s="20" t="s">
        <v>58</v>
      </c>
      <c r="B61" s="5">
        <v>1454.8000000000002</v>
      </c>
    </row>
    <row r="62" spans="1:2" x14ac:dyDescent="0.3">
      <c r="A62" s="20" t="s">
        <v>922</v>
      </c>
      <c r="B62" s="5">
        <v>421454.05</v>
      </c>
    </row>
  </sheetData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Raw_Sales_Data</vt:lpstr>
      <vt:lpstr>Cleaned_Data</vt:lpstr>
      <vt:lpstr>Dashboard</vt:lpstr>
      <vt:lpstr>Intermediate_Dashboard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Sreeya Pattanaik</cp:lastModifiedBy>
  <cp:lastPrinted>2026-09-22T13:52:33Z</cp:lastPrinted>
  <dcterms:created xsi:type="dcterms:W3CDTF">2026-09-22T11:11:02Z</dcterms:created>
  <dcterms:modified xsi:type="dcterms:W3CDTF">2026-09-25T17:32:51Z</dcterms:modified>
</cp:coreProperties>
</file>